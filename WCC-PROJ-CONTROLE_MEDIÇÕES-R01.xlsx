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ervidor\e\ENGENHARIA\17- Projetos\03 - GESTÃO\CONTRATOS\"/>
    </mc:Choice>
  </mc:AlternateContent>
  <xr:revisionPtr revIDLastSave="0" documentId="13_ncr:1_{2A25DD30-3FEE-40B2-948F-CC3CED95F2D3}" xr6:coauthVersionLast="47" xr6:coauthVersionMax="47" xr10:uidLastSave="{00000000-0000-0000-0000-000000000000}"/>
  <bookViews>
    <workbookView xWindow="-108" yWindow="-108" windowWidth="23256" windowHeight="12456" activeTab="4" xr2:uid="{30F48D28-0A19-400A-8DCF-4D65DFEA47A4}"/>
  </bookViews>
  <sheets>
    <sheet name="Resumo" sheetId="36" r:id="rId1"/>
    <sheet name="Listas" sheetId="14" r:id="rId2"/>
    <sheet name="Cálculos" sheetId="35" r:id="rId3"/>
    <sheet name="tbOrçamento" sheetId="29" r:id="rId4"/>
    <sheet name="tbContratos" sheetId="18" r:id="rId5"/>
    <sheet name="tbMedições" sheetId="21" r:id="rId6"/>
    <sheet name="Planilha1" sheetId="37" r:id="rId7"/>
  </sheets>
  <definedNames>
    <definedName name="_xlcn.WorksheetConnection_WCCPROJCONTROLE_MEDIÇÕESR01.xlsxtbContratos1" hidden="1">tbContratos[]</definedName>
    <definedName name="_xlcn.WorksheetConnection_WCCPROJCONTROLE_MEDIÇÕESR01.xlsxtbMedições1" hidden="1">tbMedições[]</definedName>
    <definedName name="_xlcn.WorksheetConnection_WCCPROJCONTROLE_MEDIÇÕESR01.xlsxtbObras1" hidden="1">tbObras[]</definedName>
    <definedName name="_xlcn.WorksheetConnection_WCCPROJCONTROLE_MEDIÇÕESR01.xlsxtbOrçamento1" hidden="1">tbOrçamento[]</definedName>
    <definedName name="ListaDisciplinas">tbDisciplinas[DISCIPLINA]</definedName>
    <definedName name="ListaFornecedores">tbFornecedores[FORNECEDOR]</definedName>
    <definedName name="ListaObras">tbObras[CÓDIGO]</definedName>
    <definedName name="ListaStatusMedição">tbStatusMedição[]</definedName>
    <definedName name="ListaStatusOrçamento">tbStatusOrçamento[Status orçamento]</definedName>
    <definedName name="ListaSubdisciplinas">tbSubdisciplinas[SUBDISCIPLINA]</definedName>
    <definedName name="SegmentaçãodeDados_CÓDIGO">#N/A</definedName>
    <definedName name="SegmentaçãodeDados_OBRA1">#N/A</definedName>
  </definedNames>
  <calcPr calcId="191029"/>
  <pivotCaches>
    <pivotCache cacheId="0" r:id="rId8"/>
    <pivotCache cacheId="1" r:id="rId9"/>
    <pivotCache cacheId="2" r:id="rId10"/>
  </pivotCaches>
  <extLst>
    <ext xmlns:x14="http://schemas.microsoft.com/office/spreadsheetml/2009/9/main" uri="{876F7934-8845-4945-9796-88D515C7AA90}">
      <x14:pivotCaches>
        <pivotCache cacheId="3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Orçamento" name="tbOrçamento" connection="WorksheetConnection_WCC-PROJ-CONTROLE_MEDIÇÕES-R01.xlsx!tbOrçamento"/>
          <x15:modelTable id="tbObras" name="tbObras" connection="WorksheetConnection_WCC-PROJ-CONTROLE_MEDIÇÕES-R01.xlsx!tbObras"/>
          <x15:modelTable id="tbMedições" name="tbMedições" connection="WorksheetConnection_WCC-PROJ-CONTROLE_MEDIÇÕES-R01.xlsx!tbMedições"/>
          <x15:modelTable id="tbContratos" name="tbContratos" connection="WorksheetConnection_WCC-PROJ-CONTROLE_MEDIÇÕES-R01.xlsx!tbContratos"/>
        </x15:modelTables>
        <x15:modelRelationships>
          <x15:modelRelationship fromTable="tbOrçamento" fromColumn="OBRA" toTable="tbObras" toColumn="CÓDIGO"/>
          <x15:modelRelationship fromTable="tbMedições" fromColumn="OBRA" toTable="tbObras" toColumn="CÓDIGO"/>
          <x15:modelRelationship fromTable="tbContratos" fromColumn="OBRA" toTable="tbObras" toColumn="CÓDIG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37" l="1"/>
  <c r="O5" i="37"/>
  <c r="M6" i="37"/>
  <c r="M7" i="37"/>
  <c r="M8" i="37"/>
  <c r="M5" i="37"/>
  <c r="L8" i="37"/>
  <c r="L7" i="37"/>
  <c r="L6" i="37"/>
  <c r="L5" i="37"/>
  <c r="K8" i="37"/>
  <c r="K7" i="37"/>
  <c r="K6" i="37"/>
  <c r="K5" i="37"/>
  <c r="F9" i="37"/>
  <c r="H9" i="37"/>
  <c r="I8" i="37"/>
  <c r="I7" i="37"/>
  <c r="I6" i="37"/>
  <c r="I5" i="37"/>
  <c r="J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I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G48" i="18"/>
  <c r="G49" i="18"/>
  <c r="G50" i="18"/>
  <c r="G51" i="18"/>
  <c r="G59" i="18"/>
  <c r="G60" i="18"/>
  <c r="G61" i="18"/>
  <c r="G62" i="18"/>
  <c r="F48" i="29"/>
  <c r="G48" i="29" s="1"/>
  <c r="F92" i="29"/>
  <c r="G92" i="29" s="1"/>
  <c r="F6" i="29"/>
  <c r="G6" i="29" s="1"/>
  <c r="F28" i="29"/>
  <c r="G28" i="29" s="1"/>
  <c r="F50" i="29"/>
  <c r="G50" i="29" s="1"/>
  <c r="F77" i="29"/>
  <c r="G77" i="29" s="1"/>
  <c r="F32" i="29"/>
  <c r="G32" i="29" s="1"/>
  <c r="F46" i="29"/>
  <c r="G46" i="29" s="1"/>
  <c r="F25" i="29"/>
  <c r="G25" i="29" s="1"/>
  <c r="F47" i="29"/>
  <c r="G47" i="29" s="1"/>
  <c r="F69" i="29"/>
  <c r="G69" i="29" s="1"/>
  <c r="F70" i="29"/>
  <c r="G70" i="29" s="1"/>
  <c r="F71" i="29"/>
  <c r="G71" i="29" s="1"/>
  <c r="F7" i="29"/>
  <c r="G7" i="29" s="1"/>
  <c r="F29" i="29"/>
  <c r="G29" i="29" s="1"/>
  <c r="F51" i="29"/>
  <c r="G51" i="29" s="1"/>
  <c r="F72" i="29"/>
  <c r="G72" i="29" s="1"/>
  <c r="F20" i="29"/>
  <c r="G20" i="29" s="1"/>
  <c r="F42" i="29"/>
  <c r="G42" i="29" s="1"/>
  <c r="F64" i="29"/>
  <c r="G64" i="29" s="1"/>
  <c r="F107" i="29"/>
  <c r="G107" i="29" s="1"/>
  <c r="F53" i="29"/>
  <c r="G53" i="29" s="1"/>
  <c r="F31" i="29"/>
  <c r="G31" i="29" s="1"/>
  <c r="F15" i="29"/>
  <c r="G15" i="29" s="1"/>
  <c r="F59" i="29"/>
  <c r="G59" i="29" s="1"/>
  <c r="F103" i="29"/>
  <c r="G103" i="29" s="1"/>
  <c r="F110" i="29"/>
  <c r="G110" i="29" s="1"/>
  <c r="F73" i="29"/>
  <c r="G73" i="29" s="1"/>
  <c r="F4" i="29"/>
  <c r="G4" i="29" s="1"/>
  <c r="H5" i="29"/>
  <c r="H8" i="29"/>
  <c r="H11" i="29"/>
  <c r="H12" i="29"/>
  <c r="H13" i="29"/>
  <c r="H14" i="29"/>
  <c r="H16" i="29"/>
  <c r="H17" i="29"/>
  <c r="H18" i="29"/>
  <c r="H19" i="29"/>
  <c r="H21" i="29"/>
  <c r="H22" i="29"/>
  <c r="H27" i="29"/>
  <c r="H30" i="29"/>
  <c r="H33" i="29"/>
  <c r="H34" i="29"/>
  <c r="H35" i="29"/>
  <c r="H36" i="29"/>
  <c r="H38" i="29"/>
  <c r="H39" i="29"/>
  <c r="H40" i="29"/>
  <c r="H41" i="29"/>
  <c r="H43" i="29"/>
  <c r="H44" i="29"/>
  <c r="H49" i="29"/>
  <c r="H52" i="29"/>
  <c r="H54" i="29"/>
  <c r="H55" i="29"/>
  <c r="H56" i="29"/>
  <c r="H57" i="29"/>
  <c r="H58" i="29"/>
  <c r="H60" i="29"/>
  <c r="H61" i="29"/>
  <c r="H62" i="29"/>
  <c r="H63" i="29"/>
  <c r="H65" i="29"/>
  <c r="H66" i="29"/>
  <c r="H68" i="29"/>
  <c r="H74" i="29"/>
  <c r="H75" i="29"/>
  <c r="H78" i="29"/>
  <c r="H79" i="29"/>
  <c r="H80" i="29"/>
  <c r="H81" i="29"/>
  <c r="H82" i="29"/>
  <c r="H83" i="29"/>
  <c r="H84" i="29"/>
  <c r="H85" i="29"/>
  <c r="H87" i="29"/>
  <c r="H88" i="29"/>
  <c r="H90" i="29"/>
  <c r="H91" i="29"/>
  <c r="H93" i="29"/>
  <c r="H94" i="29"/>
  <c r="H95" i="29"/>
  <c r="H96" i="29"/>
  <c r="H97" i="29"/>
  <c r="H98" i="29"/>
  <c r="H99" i="29"/>
  <c r="H100" i="29"/>
  <c r="H101" i="29"/>
  <c r="H102" i="29"/>
  <c r="H104" i="29"/>
  <c r="H105" i="29"/>
  <c r="H106" i="29"/>
  <c r="H108" i="29"/>
  <c r="H109" i="29"/>
  <c r="E111" i="29"/>
  <c r="F3" i="29"/>
  <c r="G3" i="29" s="1"/>
  <c r="F5" i="29"/>
  <c r="G5" i="29" s="1"/>
  <c r="F8" i="29"/>
  <c r="G8" i="29" s="1"/>
  <c r="F10" i="29"/>
  <c r="G10" i="29" s="1"/>
  <c r="F11" i="29"/>
  <c r="G11" i="29" s="1"/>
  <c r="F12" i="29"/>
  <c r="G12" i="29" s="1"/>
  <c r="F13" i="29"/>
  <c r="G13" i="29" s="1"/>
  <c r="F14" i="29"/>
  <c r="G14" i="29" s="1"/>
  <c r="F16" i="29"/>
  <c r="G16" i="29" s="1"/>
  <c r="F17" i="29"/>
  <c r="G17" i="29" s="1"/>
  <c r="F18" i="29"/>
  <c r="G18" i="29" s="1"/>
  <c r="F19" i="29"/>
  <c r="G19" i="29" s="1"/>
  <c r="F21" i="29"/>
  <c r="G21" i="29" s="1"/>
  <c r="F22" i="29"/>
  <c r="G22" i="29" s="1"/>
  <c r="F26" i="29"/>
  <c r="G26" i="29" s="1"/>
  <c r="F27" i="29"/>
  <c r="G27" i="29" s="1"/>
  <c r="F30" i="29"/>
  <c r="G30" i="29" s="1"/>
  <c r="F33" i="29"/>
  <c r="G33" i="29" s="1"/>
  <c r="F34" i="29"/>
  <c r="G34" i="29" s="1"/>
  <c r="F35" i="29"/>
  <c r="G35" i="29" s="1"/>
  <c r="F36" i="29"/>
  <c r="G36" i="29" s="1"/>
  <c r="F37" i="29"/>
  <c r="G37" i="29" s="1"/>
  <c r="F38" i="29"/>
  <c r="G38" i="29" s="1"/>
  <c r="F39" i="29"/>
  <c r="G39" i="29" s="1"/>
  <c r="F40" i="29"/>
  <c r="G40" i="29" s="1"/>
  <c r="F41" i="29"/>
  <c r="G41" i="29" s="1"/>
  <c r="F43" i="29"/>
  <c r="G43" i="29" s="1"/>
  <c r="F44" i="29"/>
  <c r="G44" i="29" s="1"/>
  <c r="F49" i="29"/>
  <c r="G49" i="29" s="1"/>
  <c r="F52" i="29"/>
  <c r="G52" i="29" s="1"/>
  <c r="F54" i="29"/>
  <c r="G54" i="29" s="1"/>
  <c r="F55" i="29"/>
  <c r="G55" i="29" s="1"/>
  <c r="F56" i="29"/>
  <c r="G56" i="29" s="1"/>
  <c r="F57" i="29"/>
  <c r="G57" i="29" s="1"/>
  <c r="F58" i="29"/>
  <c r="G58" i="29" s="1"/>
  <c r="F60" i="29"/>
  <c r="G60" i="29" s="1"/>
  <c r="F61" i="29"/>
  <c r="G61" i="29" s="1"/>
  <c r="F62" i="29"/>
  <c r="G62" i="29" s="1"/>
  <c r="F63" i="29"/>
  <c r="G63" i="29" s="1"/>
  <c r="F65" i="29"/>
  <c r="G65" i="29" s="1"/>
  <c r="F66" i="29"/>
  <c r="G66" i="29" s="1"/>
  <c r="F68" i="29"/>
  <c r="G68" i="29" s="1"/>
  <c r="F74" i="29"/>
  <c r="G74" i="29" s="1"/>
  <c r="F75" i="29"/>
  <c r="G75" i="29" s="1"/>
  <c r="F78" i="29"/>
  <c r="G78" i="29" s="1"/>
  <c r="F79" i="29"/>
  <c r="G79" i="29" s="1"/>
  <c r="F80" i="29"/>
  <c r="G80" i="29" s="1"/>
  <c r="F81" i="29"/>
  <c r="G81" i="29" s="1"/>
  <c r="F82" i="29"/>
  <c r="G82" i="29" s="1"/>
  <c r="F83" i="29"/>
  <c r="G83" i="29" s="1"/>
  <c r="F84" i="29"/>
  <c r="G84" i="29" s="1"/>
  <c r="F85" i="29"/>
  <c r="G85" i="29" s="1"/>
  <c r="F86" i="29"/>
  <c r="G86" i="29" s="1"/>
  <c r="F87" i="29"/>
  <c r="G87" i="29" s="1"/>
  <c r="F88" i="29"/>
  <c r="G88" i="29" s="1"/>
  <c r="F90" i="29"/>
  <c r="G90" i="29" s="1"/>
  <c r="F91" i="29"/>
  <c r="G91" i="29" s="1"/>
  <c r="F93" i="29"/>
  <c r="G93" i="29" s="1"/>
  <c r="F94" i="29"/>
  <c r="G94" i="29" s="1"/>
  <c r="F95" i="29"/>
  <c r="G95" i="29" s="1"/>
  <c r="F96" i="29"/>
  <c r="G96" i="29" s="1"/>
  <c r="F97" i="29"/>
  <c r="G97" i="29" s="1"/>
  <c r="F98" i="29"/>
  <c r="G98" i="29" s="1"/>
  <c r="F99" i="29"/>
  <c r="G99" i="29" s="1"/>
  <c r="F100" i="29"/>
  <c r="G100" i="29" s="1"/>
  <c r="F101" i="29"/>
  <c r="G101" i="29" s="1"/>
  <c r="F102" i="29"/>
  <c r="G102" i="29" s="1"/>
  <c r="F104" i="29"/>
  <c r="G104" i="29" s="1"/>
  <c r="F105" i="29"/>
  <c r="G105" i="29" s="1"/>
  <c r="F106" i="29"/>
  <c r="G106" i="29" s="1"/>
  <c r="F108" i="29"/>
  <c r="G108" i="29" s="1"/>
  <c r="F109" i="29"/>
  <c r="G109" i="29" s="1"/>
  <c r="J3" i="36"/>
  <c r="I3" i="36"/>
  <c r="H3" i="36"/>
  <c r="G3" i="36"/>
  <c r="F3" i="36"/>
  <c r="F9" i="29" l="1"/>
  <c r="G9" i="29" s="1"/>
  <c r="F76" i="29"/>
  <c r="G76" i="29" s="1"/>
  <c r="F24" i="29"/>
  <c r="G24" i="29" s="1"/>
  <c r="F2" i="29"/>
  <c r="G2" i="29" s="1"/>
  <c r="I39" i="29"/>
  <c r="I74" i="29"/>
  <c r="I30" i="29"/>
  <c r="I14" i="29"/>
  <c r="I40" i="29"/>
  <c r="I11" i="29"/>
  <c r="I63" i="29"/>
  <c r="I38" i="29"/>
  <c r="I21" i="29"/>
  <c r="I88" i="29"/>
  <c r="I106" i="29"/>
  <c r="I97" i="29"/>
  <c r="I49" i="29"/>
  <c r="I5" i="29"/>
  <c r="I105" i="29"/>
  <c r="I75" i="29"/>
  <c r="I81" i="29"/>
  <c r="I78" i="29"/>
  <c r="I44" i="29"/>
  <c r="I104" i="29"/>
  <c r="I80" i="29"/>
  <c r="I13" i="29"/>
  <c r="I79" i="29"/>
  <c r="I61" i="29"/>
  <c r="I41" i="29"/>
  <c r="I18" i="29"/>
  <c r="I85" i="29"/>
  <c r="I60" i="29"/>
  <c r="I34" i="29"/>
  <c r="I84" i="29"/>
  <c r="I58" i="29"/>
  <c r="I109" i="29"/>
  <c r="I99" i="29"/>
  <c r="I90" i="29"/>
  <c r="I54" i="29"/>
  <c r="I56" i="29"/>
  <c r="I16" i="29"/>
  <c r="I108" i="29"/>
  <c r="I98" i="29"/>
  <c r="I62" i="29"/>
  <c r="I52" i="29"/>
  <c r="I36" i="29"/>
  <c r="I19" i="29"/>
  <c r="I87" i="29"/>
  <c r="I55" i="29"/>
  <c r="I8" i="29"/>
  <c r="I35" i="29"/>
  <c r="I43" i="29"/>
  <c r="I102" i="29"/>
  <c r="I94" i="29"/>
  <c r="I83" i="29"/>
  <c r="I68" i="29"/>
  <c r="I65" i="29"/>
  <c r="I101" i="29"/>
  <c r="I93" i="29"/>
  <c r="I82" i="29"/>
  <c r="I66" i="29"/>
  <c r="I27" i="29"/>
  <c r="I96" i="29"/>
  <c r="I33" i="29"/>
  <c r="I100" i="29"/>
  <c r="I91" i="29"/>
  <c r="I22" i="29"/>
  <c r="I12" i="29"/>
  <c r="I95" i="29"/>
  <c r="I57" i="29"/>
  <c r="I17" i="29"/>
  <c r="J111" i="29"/>
  <c r="B223" i="21" l="1" a="1"/>
  <c r="B223" i="21" s="1"/>
  <c r="B222" i="21" a="1"/>
  <c r="B222" i="21" s="1"/>
  <c r="F222" i="21" s="1"/>
  <c r="B221" i="21" a="1"/>
  <c r="B221" i="21" s="1"/>
  <c r="B220" i="21" a="1"/>
  <c r="B220" i="21" s="1"/>
  <c r="F220" i="21" s="1"/>
  <c r="B219" i="21" a="1"/>
  <c r="B219" i="21" s="1"/>
  <c r="F219" i="21" s="1"/>
  <c r="B218" i="21" a="1"/>
  <c r="B218" i="21" s="1"/>
  <c r="F218" i="21" s="1"/>
  <c r="B217" i="21" a="1"/>
  <c r="B217" i="21" s="1"/>
  <c r="F217" i="21" s="1"/>
  <c r="B216" i="21" a="1"/>
  <c r="B216" i="21" s="1"/>
  <c r="B215" i="21" a="1"/>
  <c r="B215" i="21" s="1"/>
  <c r="B214" i="21" a="1"/>
  <c r="B214" i="21" s="1"/>
  <c r="B213" i="21" a="1"/>
  <c r="B213" i="21" s="1"/>
  <c r="B212" i="21" a="1"/>
  <c r="B212" i="21" s="1"/>
  <c r="F212" i="21" s="1"/>
  <c r="K212" i="21" s="1"/>
  <c r="B211" i="21" a="1"/>
  <c r="B211" i="21" s="1"/>
  <c r="E62" i="18"/>
  <c r="B210" i="21" a="1"/>
  <c r="B210" i="21" s="1"/>
  <c r="B209" i="21" a="1"/>
  <c r="B209" i="21" s="1"/>
  <c r="K209" i="21" s="1"/>
  <c r="B208" i="21" a="1"/>
  <c r="B208" i="21" s="1"/>
  <c r="K208" i="21" s="1"/>
  <c r="B207" i="21" a="1"/>
  <c r="B207" i="21" s="1"/>
  <c r="K207" i="21" s="1"/>
  <c r="B206" i="21" a="1"/>
  <c r="B206" i="21" s="1"/>
  <c r="K206" i="21" s="1"/>
  <c r="B205" i="21" a="1"/>
  <c r="B205" i="21" s="1"/>
  <c r="K205" i="21" s="1"/>
  <c r="B204" i="21" a="1"/>
  <c r="B204" i="21" s="1"/>
  <c r="K204" i="21" s="1"/>
  <c r="B203" i="21" a="1"/>
  <c r="B203" i="21" s="1"/>
  <c r="K203" i="21" s="1"/>
  <c r="B202" i="21" a="1"/>
  <c r="B202" i="21" s="1"/>
  <c r="K202" i="21" s="1"/>
  <c r="B201" i="21" a="1"/>
  <c r="B201" i="21" s="1"/>
  <c r="K201" i="21" s="1"/>
  <c r="B191" i="21" a="1"/>
  <c r="B191" i="21" s="1"/>
  <c r="B192" i="21" a="1"/>
  <c r="B192" i="21" s="1"/>
  <c r="B193" i="21" a="1"/>
  <c r="B193" i="21" s="1"/>
  <c r="B194" i="21" a="1"/>
  <c r="B194" i="21" s="1"/>
  <c r="B195" i="21" a="1"/>
  <c r="B195" i="21" s="1"/>
  <c r="B196" i="21" a="1"/>
  <c r="B196" i="21" s="1"/>
  <c r="B197" i="21" a="1"/>
  <c r="B197" i="21" s="1"/>
  <c r="B198" i="21" a="1"/>
  <c r="B198" i="21" s="1"/>
  <c r="B199" i="21" a="1"/>
  <c r="B199" i="21" s="1"/>
  <c r="B200" i="21" a="1"/>
  <c r="B200" i="21" s="1"/>
  <c r="B181" i="21" a="1"/>
  <c r="B181" i="21" s="1"/>
  <c r="B182" i="21" a="1"/>
  <c r="B182" i="21" s="1"/>
  <c r="B183" i="21" a="1"/>
  <c r="B183" i="21" s="1"/>
  <c r="B184" i="21" a="1"/>
  <c r="B184" i="21" s="1"/>
  <c r="B185" i="21" a="1"/>
  <c r="B185" i="21" s="1"/>
  <c r="B186" i="21" a="1"/>
  <c r="B186" i="21" s="1"/>
  <c r="B187" i="21" a="1"/>
  <c r="B187" i="21" s="1"/>
  <c r="B188" i="21" a="1"/>
  <c r="B188" i="21" s="1"/>
  <c r="B189" i="21" a="1"/>
  <c r="B189" i="21" s="1"/>
  <c r="B190" i="21" a="1"/>
  <c r="B190" i="21" s="1"/>
  <c r="B171" i="21" a="1"/>
  <c r="B171" i="21" s="1"/>
  <c r="B172" i="21" a="1"/>
  <c r="B172" i="21" s="1"/>
  <c r="B173" i="21" a="1"/>
  <c r="B173" i="21" s="1"/>
  <c r="B174" i="21" a="1"/>
  <c r="B174" i="21" s="1"/>
  <c r="B175" i="21" a="1"/>
  <c r="B175" i="21" s="1"/>
  <c r="B176" i="21" a="1"/>
  <c r="B176" i="21" s="1"/>
  <c r="B177" i="21" a="1"/>
  <c r="B177" i="21" s="1"/>
  <c r="B178" i="21" a="1"/>
  <c r="B178" i="21" s="1"/>
  <c r="B179" i="21" a="1"/>
  <c r="B179" i="21" s="1"/>
  <c r="B180" i="21" a="1"/>
  <c r="B180" i="21" s="1"/>
  <c r="B163" i="21" a="1"/>
  <c r="B163" i="21" s="1"/>
  <c r="B164" i="21" a="1"/>
  <c r="B164" i="21" s="1"/>
  <c r="B165" i="21" a="1"/>
  <c r="B165" i="21" s="1"/>
  <c r="B166" i="21" a="1"/>
  <c r="B166" i="21" s="1"/>
  <c r="B167" i="21" a="1"/>
  <c r="B167" i="21" s="1"/>
  <c r="B168" i="21" a="1"/>
  <c r="B168" i="21" s="1"/>
  <c r="B169" i="21" a="1"/>
  <c r="B169" i="21" s="1"/>
  <c r="B170" i="21" a="1"/>
  <c r="B170" i="21" s="1"/>
  <c r="B162" i="21" a="1"/>
  <c r="B162" i="21" s="1"/>
  <c r="B161" i="21" a="1"/>
  <c r="B161" i="21" s="1"/>
  <c r="B60" i="29"/>
  <c r="B38" i="29"/>
  <c r="B16" i="29"/>
  <c r="B159" i="21" a="1"/>
  <c r="B159" i="21" s="1"/>
  <c r="K159" i="21" s="1"/>
  <c r="B160" i="21" a="1"/>
  <c r="B160" i="21" s="1"/>
  <c r="K160" i="21" s="1"/>
  <c r="B157" i="21" a="1"/>
  <c r="B157" i="21" s="1"/>
  <c r="K157" i="21" s="1"/>
  <c r="B158" i="21" a="1"/>
  <c r="B158" i="21" s="1"/>
  <c r="K158" i="21" s="1"/>
  <c r="B156" i="21" a="1"/>
  <c r="B156" i="21" s="1"/>
  <c r="K156" i="21" s="1"/>
  <c r="B155" i="21" a="1"/>
  <c r="B155" i="21" s="1"/>
  <c r="K155" i="21" s="1"/>
  <c r="B154" i="21" a="1"/>
  <c r="B154" i="21" s="1"/>
  <c r="K154" i="21" s="1"/>
  <c r="B153" i="21" a="1"/>
  <c r="B153" i="21" s="1"/>
  <c r="K153" i="21" s="1"/>
  <c r="B152" i="21" a="1"/>
  <c r="B152" i="21" s="1"/>
  <c r="K152" i="21" s="1"/>
  <c r="B151" i="21" a="1"/>
  <c r="B151" i="21" s="1"/>
  <c r="K151" i="21" s="1"/>
  <c r="B150" i="21" a="1"/>
  <c r="B150" i="21" s="1"/>
  <c r="K150" i="21" s="1"/>
  <c r="B149" i="21" a="1"/>
  <c r="B149" i="21" s="1"/>
  <c r="B148" i="21" a="1"/>
  <c r="B148" i="21" s="1"/>
  <c r="K148" i="21" s="1"/>
  <c r="B140" i="21" a="1"/>
  <c r="B140" i="21" s="1"/>
  <c r="K140" i="21" s="1"/>
  <c r="B141" i="21" a="1"/>
  <c r="B141" i="21" s="1"/>
  <c r="K141" i="21" s="1"/>
  <c r="B142" i="21" a="1"/>
  <c r="B142" i="21" s="1"/>
  <c r="K142" i="21" s="1"/>
  <c r="B143" i="21" a="1"/>
  <c r="B143" i="21" s="1"/>
  <c r="K143" i="21" s="1"/>
  <c r="B144" i="21" a="1"/>
  <c r="B144" i="21" s="1"/>
  <c r="K144" i="21" s="1"/>
  <c r="B145" i="21" a="1"/>
  <c r="B145" i="21" s="1"/>
  <c r="K145" i="21" s="1"/>
  <c r="B146" i="21" a="1"/>
  <c r="B146" i="21" s="1"/>
  <c r="K146" i="21" s="1"/>
  <c r="B147" i="21" a="1"/>
  <c r="B147" i="21" s="1"/>
  <c r="K147" i="21" s="1"/>
  <c r="B139" i="21" a="1"/>
  <c r="B139" i="21" s="1"/>
  <c r="K139" i="21" s="1"/>
  <c r="B131" i="21" a="1"/>
  <c r="B131" i="21" s="1"/>
  <c r="K131" i="21" s="1"/>
  <c r="B132" i="21" a="1"/>
  <c r="B132" i="21" s="1"/>
  <c r="K132" i="21" s="1"/>
  <c r="B133" i="21" a="1"/>
  <c r="B133" i="21" s="1"/>
  <c r="K133" i="21" s="1"/>
  <c r="B134" i="21" a="1"/>
  <c r="B134" i="21" s="1"/>
  <c r="K134" i="21" s="1"/>
  <c r="B135" i="21" a="1"/>
  <c r="B135" i="21" s="1"/>
  <c r="K135" i="21" s="1"/>
  <c r="B136" i="21" a="1"/>
  <c r="B136" i="21" s="1"/>
  <c r="K136" i="21" s="1"/>
  <c r="B137" i="21" a="1"/>
  <c r="B137" i="21" s="1"/>
  <c r="K137" i="21" s="1"/>
  <c r="B138" i="21" a="1"/>
  <c r="B138" i="21" s="1"/>
  <c r="K138" i="21" s="1"/>
  <c r="B130" i="21" a="1"/>
  <c r="B130" i="21" s="1"/>
  <c r="K130" i="21" s="1"/>
  <c r="B122" i="21" a="1"/>
  <c r="B122" i="21" s="1"/>
  <c r="K122" i="21" s="1"/>
  <c r="B123" i="21" a="1"/>
  <c r="B123" i="21" s="1"/>
  <c r="K123" i="21" s="1"/>
  <c r="B124" i="21" a="1"/>
  <c r="B124" i="21" s="1"/>
  <c r="K124" i="21" s="1"/>
  <c r="B125" i="21" a="1"/>
  <c r="B125" i="21" s="1"/>
  <c r="K125" i="21" s="1"/>
  <c r="B126" i="21" a="1"/>
  <c r="B126" i="21" s="1"/>
  <c r="K126" i="21" s="1"/>
  <c r="B127" i="21" a="1"/>
  <c r="B127" i="21" s="1"/>
  <c r="K127" i="21" s="1"/>
  <c r="B128" i="21" a="1"/>
  <c r="B128" i="21" s="1"/>
  <c r="K128" i="21" s="1"/>
  <c r="B129" i="21" a="1"/>
  <c r="B129" i="21" s="1"/>
  <c r="K129" i="21" s="1"/>
  <c r="B121" i="21" a="1"/>
  <c r="B121" i="21" s="1"/>
  <c r="K121" i="21" s="1"/>
  <c r="B113" i="21" a="1"/>
  <c r="B113" i="21" s="1"/>
  <c r="K113" i="21" s="1"/>
  <c r="B114" i="21" a="1"/>
  <c r="B114" i="21" s="1"/>
  <c r="K114" i="21" s="1"/>
  <c r="B115" i="21" a="1"/>
  <c r="B115" i="21" s="1"/>
  <c r="K115" i="21" s="1"/>
  <c r="B116" i="21" a="1"/>
  <c r="B116" i="21" s="1"/>
  <c r="K116" i="21" s="1"/>
  <c r="B117" i="21" a="1"/>
  <c r="B117" i="21" s="1"/>
  <c r="K117" i="21" s="1"/>
  <c r="B118" i="21" a="1"/>
  <c r="B118" i="21" s="1"/>
  <c r="K118" i="21" s="1"/>
  <c r="B119" i="21" a="1"/>
  <c r="B119" i="21" s="1"/>
  <c r="K119" i="21" s="1"/>
  <c r="B120" i="21" a="1"/>
  <c r="B120" i="21" s="1"/>
  <c r="K120" i="21" s="1"/>
  <c r="B112" i="21" a="1"/>
  <c r="B112" i="21" s="1"/>
  <c r="K112" i="21" s="1"/>
  <c r="B108" i="21" a="1"/>
  <c r="B108" i="21" s="1"/>
  <c r="B109" i="21" a="1"/>
  <c r="B109" i="21" s="1"/>
  <c r="B110" i="21" a="1"/>
  <c r="B110" i="21" s="1"/>
  <c r="B111" i="21" a="1"/>
  <c r="B111" i="21" s="1"/>
  <c r="K111" i="21" s="1"/>
  <c r="B107" i="21" a="1"/>
  <c r="B107" i="21" s="1"/>
  <c r="Q104" i="21"/>
  <c r="B103" i="21" a="1"/>
  <c r="B103" i="21" s="1"/>
  <c r="K103" i="21" s="1"/>
  <c r="B104" i="21" a="1"/>
  <c r="B104" i="21" s="1"/>
  <c r="K104" i="21" s="1"/>
  <c r="B105" i="21" a="1"/>
  <c r="B105" i="21" s="1"/>
  <c r="K105" i="21" s="1"/>
  <c r="B106" i="21" a="1"/>
  <c r="B106" i="21" s="1"/>
  <c r="K106" i="21" s="1"/>
  <c r="B102" i="21" a="1"/>
  <c r="B102" i="21" s="1"/>
  <c r="K102" i="21" s="1"/>
  <c r="B101" i="21" a="1"/>
  <c r="B101" i="21" s="1"/>
  <c r="K101" i="21" s="1"/>
  <c r="Q97" i="21"/>
  <c r="B98" i="21" a="1"/>
  <c r="B98" i="21" s="1"/>
  <c r="K98" i="21" s="1"/>
  <c r="B99" i="21" a="1"/>
  <c r="B99" i="21" s="1"/>
  <c r="K99" i="21" s="1"/>
  <c r="B100" i="21" a="1"/>
  <c r="B100" i="21" s="1"/>
  <c r="K100" i="21" s="1"/>
  <c r="B97" i="21" a="1"/>
  <c r="B97" i="21" s="1"/>
  <c r="K97" i="21" s="1"/>
  <c r="B96" i="21" a="1"/>
  <c r="B96" i="21" s="1"/>
  <c r="K96" i="21" s="1"/>
  <c r="B95" i="21" a="1"/>
  <c r="B95" i="21" s="1"/>
  <c r="K95" i="21" s="1"/>
  <c r="B93" i="21" a="1"/>
  <c r="B93" i="21" s="1"/>
  <c r="K93" i="21" s="1"/>
  <c r="B94" i="21" a="1"/>
  <c r="B94" i="21" s="1"/>
  <c r="K94" i="21" s="1"/>
  <c r="B91" i="21" a="1"/>
  <c r="B91" i="21" s="1"/>
  <c r="K91" i="21" s="1"/>
  <c r="B92" i="21" a="1"/>
  <c r="B92" i="21" s="1"/>
  <c r="K92" i="21" s="1"/>
  <c r="B90" i="21" a="1"/>
  <c r="B90" i="21" s="1"/>
  <c r="K90" i="21" s="1"/>
  <c r="B89" i="21" a="1"/>
  <c r="B89" i="21" s="1"/>
  <c r="K89" i="21" s="1"/>
  <c r="B88" i="21" a="1"/>
  <c r="B88" i="21" s="1"/>
  <c r="K88" i="21" s="1"/>
  <c r="B87" i="21" a="1"/>
  <c r="B87" i="21" s="1"/>
  <c r="K87" i="21" s="1"/>
  <c r="B86" i="21" a="1"/>
  <c r="B86" i="21" s="1"/>
  <c r="K86" i="21" s="1"/>
  <c r="B85" i="21" a="1"/>
  <c r="B85" i="21" s="1"/>
  <c r="K85" i="21" s="1"/>
  <c r="B84" i="21" a="1"/>
  <c r="B84" i="21" s="1"/>
  <c r="K84" i="21" s="1"/>
  <c r="B83" i="21" a="1"/>
  <c r="B83" i="21" s="1"/>
  <c r="K83" i="21" s="1"/>
  <c r="B82" i="21" a="1"/>
  <c r="B82" i="21" s="1"/>
  <c r="K82" i="21" s="1"/>
  <c r="B81" i="21" a="1"/>
  <c r="B81" i="21" s="1"/>
  <c r="K81" i="21" s="1"/>
  <c r="B80" i="21" a="1"/>
  <c r="B80" i="21" s="1"/>
  <c r="K80" i="21" s="1"/>
  <c r="B79" i="21" a="1"/>
  <c r="B79" i="21" s="1"/>
  <c r="K79" i="21" s="1"/>
  <c r="B78" i="21" a="1"/>
  <c r="B78" i="21" s="1"/>
  <c r="K78" i="21" s="1"/>
  <c r="B77" i="21" a="1"/>
  <c r="B77" i="21" s="1"/>
  <c r="K77" i="21" s="1"/>
  <c r="B76" i="21" a="1"/>
  <c r="B76" i="21" s="1"/>
  <c r="K76" i="21" s="1"/>
  <c r="B75" i="21" a="1"/>
  <c r="B75" i="21" s="1"/>
  <c r="K75" i="21" s="1"/>
  <c r="B74" i="21" a="1"/>
  <c r="B74" i="21" s="1"/>
  <c r="K74" i="21" s="1"/>
  <c r="B73" i="21" a="1"/>
  <c r="B73" i="21" s="1"/>
  <c r="K73" i="21" s="1"/>
  <c r="B71" i="21" a="1"/>
  <c r="B71" i="21" s="1"/>
  <c r="K71" i="21" s="1"/>
  <c r="B72" i="21" a="1"/>
  <c r="B72" i="21" s="1"/>
  <c r="K72" i="21" s="1"/>
  <c r="B70" i="21" a="1"/>
  <c r="B70" i="21" s="1"/>
  <c r="K70" i="21" s="1"/>
  <c r="B69" i="21" a="1"/>
  <c r="B69" i="21" s="1"/>
  <c r="K69" i="21" s="1"/>
  <c r="B68" i="21" a="1"/>
  <c r="B68" i="21" s="1"/>
  <c r="K68" i="21" s="1"/>
  <c r="B67" i="21" a="1"/>
  <c r="B67" i="21" s="1"/>
  <c r="K67" i="21" s="1"/>
  <c r="B66" i="21" a="1"/>
  <c r="B66" i="21" s="1"/>
  <c r="K66" i="21" s="1"/>
  <c r="B65" i="21" a="1"/>
  <c r="B65" i="21" s="1"/>
  <c r="K65" i="21" s="1"/>
  <c r="B64" i="21" a="1"/>
  <c r="B64" i="21" s="1"/>
  <c r="K64" i="21" s="1"/>
  <c r="B63" i="21" a="1"/>
  <c r="B63" i="21" s="1"/>
  <c r="K63" i="21" s="1"/>
  <c r="B58" i="21" a="1"/>
  <c r="B58" i="21" s="1"/>
  <c r="K58" i="21" s="1"/>
  <c r="B59" i="21" a="1"/>
  <c r="B59" i="21" s="1"/>
  <c r="K59" i="21" s="1"/>
  <c r="B60" i="21" a="1"/>
  <c r="B60" i="21" s="1"/>
  <c r="K60" i="21" s="1"/>
  <c r="B61" i="21" a="1"/>
  <c r="B61" i="21" s="1"/>
  <c r="K61" i="21" s="1"/>
  <c r="B62" i="21" a="1"/>
  <c r="B62" i="21" s="1"/>
  <c r="K62" i="21" s="1"/>
  <c r="B53" i="21" a="1"/>
  <c r="B53" i="21" s="1"/>
  <c r="K53" i="21" s="1"/>
  <c r="B54" i="21" a="1"/>
  <c r="B54" i="21" s="1"/>
  <c r="K54" i="21" s="1"/>
  <c r="B55" i="21" a="1"/>
  <c r="B55" i="21" s="1"/>
  <c r="K55" i="21" s="1"/>
  <c r="B56" i="21" a="1"/>
  <c r="B56" i="21" s="1"/>
  <c r="K56" i="21" s="1"/>
  <c r="B57" i="21" a="1"/>
  <c r="B57" i="21" s="1"/>
  <c r="K57" i="21" s="1"/>
  <c r="B52" i="21" a="1"/>
  <c r="B52" i="21" s="1"/>
  <c r="K52" i="21" s="1"/>
  <c r="B51" i="21" a="1"/>
  <c r="B51" i="21" s="1"/>
  <c r="K51" i="21" s="1"/>
  <c r="B50" i="21" a="1"/>
  <c r="B50" i="21" s="1"/>
  <c r="K50" i="21" s="1"/>
  <c r="B45" i="21" a="1"/>
  <c r="B45" i="21" s="1"/>
  <c r="K45" i="21" s="1"/>
  <c r="B46" i="21" a="1"/>
  <c r="B46" i="21" s="1"/>
  <c r="K46" i="21" s="1"/>
  <c r="B47" i="21" a="1"/>
  <c r="B47" i="21" s="1"/>
  <c r="K47" i="21" s="1"/>
  <c r="B48" i="21" a="1"/>
  <c r="B48" i="21" s="1"/>
  <c r="K48" i="21" s="1"/>
  <c r="B49" i="21" a="1"/>
  <c r="B49" i="21" s="1"/>
  <c r="K49" i="21" s="1"/>
  <c r="B44" i="21" a="1"/>
  <c r="B44" i="21" s="1"/>
  <c r="K44" i="21" s="1"/>
  <c r="B41" i="21" a="1"/>
  <c r="B41" i="21" s="1"/>
  <c r="K41" i="21" s="1"/>
  <c r="B42" i="21" a="1"/>
  <c r="B42" i="21" s="1"/>
  <c r="K42" i="21" s="1"/>
  <c r="B43" i="21" a="1"/>
  <c r="B43" i="21" s="1"/>
  <c r="K43" i="21" s="1"/>
  <c r="B40" i="21" a="1"/>
  <c r="B40" i="21" s="1"/>
  <c r="K40" i="21" s="1"/>
  <c r="B37" i="21" a="1"/>
  <c r="B37" i="21" s="1"/>
  <c r="K37" i="21" s="1"/>
  <c r="B38" i="21" a="1"/>
  <c r="B38" i="21" s="1"/>
  <c r="K38" i="21" s="1"/>
  <c r="B39" i="21" a="1"/>
  <c r="B39" i="21" s="1"/>
  <c r="K39" i="21" s="1"/>
  <c r="B36" i="21" a="1"/>
  <c r="B36" i="21" s="1"/>
  <c r="K36" i="21" s="1"/>
  <c r="B33" i="21" a="1"/>
  <c r="B33" i="21" s="1"/>
  <c r="K33" i="21" s="1"/>
  <c r="B34" i="21" a="1"/>
  <c r="B34" i="21" s="1"/>
  <c r="K34" i="21" s="1"/>
  <c r="B35" i="21" a="1"/>
  <c r="B35" i="21" s="1"/>
  <c r="K35" i="21" s="1"/>
  <c r="B32" i="21" a="1"/>
  <c r="B32" i="21" s="1"/>
  <c r="K32" i="21" s="1"/>
  <c r="B25" i="21" a="1"/>
  <c r="B25" i="21" s="1"/>
  <c r="K25" i="21" s="1"/>
  <c r="B26" i="21" a="1"/>
  <c r="B26" i="21" s="1"/>
  <c r="K26" i="21" s="1"/>
  <c r="B27" i="21" a="1"/>
  <c r="B27" i="21" s="1"/>
  <c r="K27" i="21" s="1"/>
  <c r="B28" i="21" a="1"/>
  <c r="B28" i="21" s="1"/>
  <c r="K28" i="21" s="1"/>
  <c r="B29" i="21" a="1"/>
  <c r="B29" i="21" s="1"/>
  <c r="K29" i="21" s="1"/>
  <c r="B30" i="21" a="1"/>
  <c r="B30" i="21" s="1"/>
  <c r="K30" i="21" s="1"/>
  <c r="B31" i="21" a="1"/>
  <c r="B31" i="21" s="1"/>
  <c r="K31" i="21" s="1"/>
  <c r="B17" i="21" a="1"/>
  <c r="B17" i="21" s="1"/>
  <c r="K17" i="21" s="1"/>
  <c r="B18" i="21" a="1"/>
  <c r="B18" i="21" s="1"/>
  <c r="K18" i="21" s="1"/>
  <c r="B19" i="21" a="1"/>
  <c r="B19" i="21" s="1"/>
  <c r="K19" i="21" s="1"/>
  <c r="B20" i="21" a="1"/>
  <c r="B20" i="21" s="1"/>
  <c r="K20" i="21" s="1"/>
  <c r="B21" i="21" a="1"/>
  <c r="B21" i="21" s="1"/>
  <c r="K21" i="21" s="1"/>
  <c r="B22" i="21" a="1"/>
  <c r="B22" i="21" s="1"/>
  <c r="K22" i="21" s="1"/>
  <c r="B23" i="21" a="1"/>
  <c r="B23" i="21" s="1"/>
  <c r="K23" i="21" s="1"/>
  <c r="B24" i="21" a="1"/>
  <c r="B24" i="21" s="1"/>
  <c r="K24" i="21" s="1"/>
  <c r="B16" i="21" a="1"/>
  <c r="B16" i="21" s="1"/>
  <c r="K16" i="21" s="1"/>
  <c r="B10" i="21" a="1"/>
  <c r="B10" i="21" s="1"/>
  <c r="K10" i="21" s="1"/>
  <c r="B11" i="21" a="1"/>
  <c r="B11" i="21" s="1"/>
  <c r="K11" i="21" s="1"/>
  <c r="B12" i="21" a="1"/>
  <c r="B12" i="21" s="1"/>
  <c r="K12" i="21" s="1"/>
  <c r="B13" i="21" a="1"/>
  <c r="B13" i="21" s="1"/>
  <c r="K13" i="21" s="1"/>
  <c r="B14" i="21" a="1"/>
  <c r="B14" i="21" s="1"/>
  <c r="K14" i="21" s="1"/>
  <c r="B15" i="21" a="1"/>
  <c r="B15" i="21" s="1"/>
  <c r="K15" i="21" s="1"/>
  <c r="B9" i="21" a="1"/>
  <c r="B9" i="21" s="1"/>
  <c r="K9" i="21" s="1"/>
  <c r="B4" i="21" a="1"/>
  <c r="B4" i="21" s="1"/>
  <c r="K4" i="21" s="1"/>
  <c r="B5" i="21" a="1"/>
  <c r="B5" i="21" s="1"/>
  <c r="K5" i="21" s="1"/>
  <c r="B6" i="21" a="1"/>
  <c r="B6" i="21" s="1"/>
  <c r="K6" i="21" s="1"/>
  <c r="B7" i="21" a="1"/>
  <c r="B7" i="21" s="1"/>
  <c r="K7" i="21" s="1"/>
  <c r="B8" i="21" a="1"/>
  <c r="B8" i="21" s="1"/>
  <c r="K8" i="21" s="1"/>
  <c r="B2" i="21" a="1"/>
  <c r="B2" i="21" s="1"/>
  <c r="B3" i="21" a="1"/>
  <c r="B3" i="21" s="1"/>
  <c r="K3" i="21" s="1"/>
  <c r="E53" i="18"/>
  <c r="E54" i="18"/>
  <c r="E55" i="18"/>
  <c r="E56" i="18"/>
  <c r="E45" i="18"/>
  <c r="E46" i="18"/>
  <c r="E47" i="18"/>
  <c r="E43" i="18"/>
  <c r="E33" i="18"/>
  <c r="E34" i="18"/>
  <c r="E35" i="18"/>
  <c r="E28" i="18"/>
  <c r="E29" i="18"/>
  <c r="E30" i="18"/>
  <c r="E21" i="18"/>
  <c r="E22" i="18"/>
  <c r="E23" i="18"/>
  <c r="E24" i="18"/>
  <c r="F45" i="29"/>
  <c r="G45" i="29" s="1"/>
  <c r="F89" i="29"/>
  <c r="G89" i="29" s="1"/>
  <c r="F67" i="29"/>
  <c r="G67" i="29" s="1"/>
  <c r="F23" i="29"/>
  <c r="E49" i="18"/>
  <c r="E50" i="18"/>
  <c r="E51" i="18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73" i="29"/>
  <c r="B74" i="29"/>
  <c r="B49" i="29"/>
  <c r="B27" i="29"/>
  <c r="B5" i="29"/>
  <c r="B87" i="29"/>
  <c r="B88" i="29"/>
  <c r="B89" i="29"/>
  <c r="B67" i="29"/>
  <c r="B68" i="29"/>
  <c r="B69" i="29"/>
  <c r="B70" i="29"/>
  <c r="B71" i="29"/>
  <c r="B72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63" i="29"/>
  <c r="B64" i="29"/>
  <c r="B65" i="29"/>
  <c r="B66" i="29"/>
  <c r="B26" i="29"/>
  <c r="B28" i="29"/>
  <c r="B29" i="29"/>
  <c r="B30" i="29"/>
  <c r="B31" i="29"/>
  <c r="B32" i="29"/>
  <c r="B33" i="29"/>
  <c r="B34" i="29"/>
  <c r="B35" i="29"/>
  <c r="B36" i="29"/>
  <c r="B37" i="29"/>
  <c r="B39" i="29"/>
  <c r="B40" i="29"/>
  <c r="B41" i="29"/>
  <c r="B42" i="29"/>
  <c r="B43" i="29"/>
  <c r="B44" i="29"/>
  <c r="B45" i="29"/>
  <c r="B46" i="29"/>
  <c r="B47" i="29"/>
  <c r="B48" i="29"/>
  <c r="B50" i="29"/>
  <c r="B51" i="29"/>
  <c r="B52" i="29"/>
  <c r="B53" i="29"/>
  <c r="B54" i="29"/>
  <c r="B55" i="29"/>
  <c r="B56" i="29"/>
  <c r="B57" i="29"/>
  <c r="B58" i="29"/>
  <c r="B59" i="29"/>
  <c r="B61" i="29"/>
  <c r="B3" i="29"/>
  <c r="B4" i="29"/>
  <c r="B6" i="29"/>
  <c r="B7" i="29"/>
  <c r="B8" i="29"/>
  <c r="B9" i="29"/>
  <c r="B10" i="29"/>
  <c r="B11" i="29"/>
  <c r="B12" i="29"/>
  <c r="B13" i="29"/>
  <c r="B14" i="29"/>
  <c r="B15" i="29"/>
  <c r="B17" i="29"/>
  <c r="B18" i="29"/>
  <c r="B19" i="29"/>
  <c r="B20" i="29"/>
  <c r="B21" i="29"/>
  <c r="B22" i="29"/>
  <c r="B23" i="29"/>
  <c r="B24" i="29"/>
  <c r="B25" i="29"/>
  <c r="B2" i="29"/>
  <c r="B62" i="29"/>
  <c r="G23" i="29" l="1"/>
  <c r="G111" i="29" s="1"/>
  <c r="F111" i="29"/>
  <c r="K188" i="21"/>
  <c r="K2" i="21"/>
  <c r="H2" i="18" s="1"/>
  <c r="H4" i="29" s="1"/>
  <c r="I4" i="29" s="1"/>
  <c r="H10" i="18"/>
  <c r="H32" i="29" s="1"/>
  <c r="I32" i="29" s="1"/>
  <c r="H18" i="18"/>
  <c r="H26" i="18"/>
  <c r="H71" i="29" s="1"/>
  <c r="I71" i="29" s="1"/>
  <c r="H34" i="18"/>
  <c r="H107" i="29" s="1"/>
  <c r="I107" i="29" s="1"/>
  <c r="H42" i="18"/>
  <c r="H58" i="18"/>
  <c r="H73" i="29" s="1"/>
  <c r="I73" i="29" s="1"/>
  <c r="H15" i="18"/>
  <c r="H47" i="18"/>
  <c r="H103" i="29" s="1"/>
  <c r="I103" i="29" s="1"/>
  <c r="H16" i="18"/>
  <c r="H17" i="18"/>
  <c r="H3" i="18"/>
  <c r="H26" i="29" s="1"/>
  <c r="I26" i="29" s="1"/>
  <c r="H11" i="18"/>
  <c r="H10" i="29" s="1"/>
  <c r="I10" i="29" s="1"/>
  <c r="H19" i="18"/>
  <c r="H3" i="29" s="1"/>
  <c r="I3" i="29" s="1"/>
  <c r="H27" i="18"/>
  <c r="H7" i="29" s="1"/>
  <c r="I7" i="29" s="1"/>
  <c r="H35" i="18"/>
  <c r="H86" i="29" s="1"/>
  <c r="I86" i="29" s="1"/>
  <c r="H43" i="18"/>
  <c r="H6" i="18"/>
  <c r="H6" i="29" s="1"/>
  <c r="I6" i="29" s="1"/>
  <c r="H7" i="18"/>
  <c r="H28" i="29" s="1"/>
  <c r="I28" i="29" s="1"/>
  <c r="H39" i="18"/>
  <c r="H53" i="29" s="1"/>
  <c r="I53" i="29" s="1"/>
  <c r="H8" i="18"/>
  <c r="H50" i="29" s="1"/>
  <c r="I50" i="29" s="1"/>
  <c r="H32" i="18"/>
  <c r="H42" i="29" s="1"/>
  <c r="I42" i="29" s="1"/>
  <c r="H33" i="18"/>
  <c r="H64" i="29" s="1"/>
  <c r="I64" i="29" s="1"/>
  <c r="H4" i="18"/>
  <c r="H48" i="29" s="1"/>
  <c r="I48" i="29" s="1"/>
  <c r="H12" i="18"/>
  <c r="H20" i="18"/>
  <c r="H25" i="29" s="1"/>
  <c r="I25" i="29" s="1"/>
  <c r="H28" i="18"/>
  <c r="H29" i="29" s="1"/>
  <c r="I29" i="29" s="1"/>
  <c r="H36" i="18"/>
  <c r="H44" i="18"/>
  <c r="H15" i="29" s="1"/>
  <c r="I15" i="29" s="1"/>
  <c r="H52" i="18"/>
  <c r="H5" i="18"/>
  <c r="H92" i="29" s="1"/>
  <c r="I92" i="29" s="1"/>
  <c r="H13" i="18"/>
  <c r="H21" i="18"/>
  <c r="H47" i="29" s="1"/>
  <c r="I47" i="29" s="1"/>
  <c r="H29" i="18"/>
  <c r="H51" i="29" s="1"/>
  <c r="I51" i="29" s="1"/>
  <c r="H37" i="18"/>
  <c r="H45" i="18"/>
  <c r="H37" i="29" s="1"/>
  <c r="I37" i="29" s="1"/>
  <c r="H53" i="18"/>
  <c r="H61" i="18"/>
  <c r="H14" i="18"/>
  <c r="H46" i="29" s="1"/>
  <c r="I46" i="29" s="1"/>
  <c r="H22" i="18"/>
  <c r="H69" i="29" s="1"/>
  <c r="I69" i="29" s="1"/>
  <c r="H30" i="18"/>
  <c r="H72" i="29" s="1"/>
  <c r="I72" i="29" s="1"/>
  <c r="H46" i="18"/>
  <c r="H59" i="29" s="1"/>
  <c r="I59" i="29" s="1"/>
  <c r="H54" i="18"/>
  <c r="H23" i="18"/>
  <c r="H31" i="18"/>
  <c r="H20" i="29" s="1"/>
  <c r="I20" i="29" s="1"/>
  <c r="H55" i="18"/>
  <c r="H110" i="29" s="1"/>
  <c r="I110" i="29" s="1"/>
  <c r="H24" i="18"/>
  <c r="H40" i="18"/>
  <c r="H56" i="18"/>
  <c r="H9" i="18"/>
  <c r="H77" i="29" s="1"/>
  <c r="I77" i="29" s="1"/>
  <c r="H25" i="18"/>
  <c r="H70" i="29" s="1"/>
  <c r="I70" i="29" s="1"/>
  <c r="H41" i="18"/>
  <c r="H31" i="29" s="1"/>
  <c r="I31" i="29" s="1"/>
  <c r="H57" i="18"/>
  <c r="K169" i="21"/>
  <c r="K179" i="21"/>
  <c r="K171" i="21"/>
  <c r="K183" i="21"/>
  <c r="K166" i="21"/>
  <c r="K165" i="21"/>
  <c r="K187" i="21"/>
  <c r="K161" i="21"/>
  <c r="K164" i="21"/>
  <c r="K186" i="21"/>
  <c r="K168" i="21"/>
  <c r="K190" i="21"/>
  <c r="K182" i="21"/>
  <c r="K167" i="21"/>
  <c r="K189" i="21"/>
  <c r="K181" i="21"/>
  <c r="F223" i="21"/>
  <c r="K223" i="21" s="1"/>
  <c r="K107" i="21"/>
  <c r="K109" i="21"/>
  <c r="K108" i="21"/>
  <c r="K110" i="21"/>
  <c r="K222" i="21"/>
  <c r="F221" i="21"/>
  <c r="K221" i="21" s="1"/>
  <c r="K220" i="21"/>
  <c r="K219" i="21"/>
  <c r="K218" i="21"/>
  <c r="K217" i="21"/>
  <c r="F216" i="21"/>
  <c r="K216" i="21" s="1"/>
  <c r="F215" i="21"/>
  <c r="K215" i="21" s="1"/>
  <c r="F214" i="21"/>
  <c r="K214" i="21" s="1"/>
  <c r="F213" i="21"/>
  <c r="K213" i="21" s="1"/>
  <c r="F211" i="21"/>
  <c r="K211" i="21" s="1"/>
  <c r="K194" i="21"/>
  <c r="K177" i="21"/>
  <c r="K192" i="21"/>
  <c r="K175" i="21"/>
  <c r="K199" i="21"/>
  <c r="K162" i="21"/>
  <c r="K163" i="21"/>
  <c r="K173" i="21"/>
  <c r="K185" i="21"/>
  <c r="K197" i="21"/>
  <c r="K195" i="21"/>
  <c r="K178" i="21"/>
  <c r="K193" i="21"/>
  <c r="K176" i="21"/>
  <c r="K200" i="21"/>
  <c r="K191" i="21"/>
  <c r="K174" i="21"/>
  <c r="K198" i="21"/>
  <c r="K170" i="21"/>
  <c r="K180" i="21"/>
  <c r="K172" i="21"/>
  <c r="K184" i="21"/>
  <c r="K196" i="21"/>
  <c r="K149" i="21"/>
  <c r="E13" i="18"/>
  <c r="E14" i="18"/>
  <c r="E36" i="18"/>
  <c r="E37" i="18"/>
  <c r="E38" i="18"/>
  <c r="E39" i="18"/>
  <c r="E40" i="18"/>
  <c r="E41" i="18"/>
  <c r="E42" i="18"/>
  <c r="E44" i="18"/>
  <c r="E48" i="18"/>
  <c r="E52" i="18"/>
  <c r="E57" i="18"/>
  <c r="E58" i="18"/>
  <c r="E59" i="18"/>
  <c r="E60" i="18"/>
  <c r="E61" i="18"/>
  <c r="E19" i="18"/>
  <c r="E20" i="18"/>
  <c r="E25" i="18"/>
  <c r="E26" i="18"/>
  <c r="E27" i="18"/>
  <c r="E31" i="18"/>
  <c r="E32" i="18"/>
  <c r="H76" i="29" l="1"/>
  <c r="I76" i="29" s="1"/>
  <c r="H9" i="29"/>
  <c r="I9" i="29" s="1"/>
  <c r="H2" i="29"/>
  <c r="I2" i="29" s="1"/>
  <c r="H24" i="29"/>
  <c r="I24" i="29" s="1"/>
  <c r="H59" i="18"/>
  <c r="I59" i="18" s="1"/>
  <c r="I7" i="18"/>
  <c r="J7" i="18"/>
  <c r="I20" i="18"/>
  <c r="J20" i="18"/>
  <c r="I57" i="18"/>
  <c r="J57" i="18"/>
  <c r="I31" i="18"/>
  <c r="J31" i="18"/>
  <c r="I53" i="18"/>
  <c r="J53" i="18"/>
  <c r="I44" i="18"/>
  <c r="J44" i="18"/>
  <c r="I8" i="18"/>
  <c r="J8" i="18"/>
  <c r="I19" i="18"/>
  <c r="J19" i="18"/>
  <c r="I42" i="18"/>
  <c r="J42" i="18"/>
  <c r="I41" i="18"/>
  <c r="J41" i="18"/>
  <c r="I23" i="18"/>
  <c r="J23" i="18"/>
  <c r="I45" i="18"/>
  <c r="J45" i="18"/>
  <c r="I36" i="18"/>
  <c r="J36" i="18"/>
  <c r="I39" i="18"/>
  <c r="J39" i="18"/>
  <c r="I11" i="18"/>
  <c r="J11" i="18"/>
  <c r="I34" i="18"/>
  <c r="J34" i="18"/>
  <c r="I28" i="18"/>
  <c r="J28" i="18"/>
  <c r="I54" i="18"/>
  <c r="J54" i="18"/>
  <c r="I37" i="18"/>
  <c r="J37" i="18"/>
  <c r="I26" i="18"/>
  <c r="J26" i="18"/>
  <c r="I9" i="18"/>
  <c r="J9" i="18"/>
  <c r="I29" i="18"/>
  <c r="J29" i="18"/>
  <c r="I6" i="18"/>
  <c r="J6" i="18"/>
  <c r="I18" i="18"/>
  <c r="J18" i="18"/>
  <c r="I56" i="18"/>
  <c r="J56" i="18"/>
  <c r="I30" i="18"/>
  <c r="J30" i="18"/>
  <c r="I12" i="18"/>
  <c r="J12" i="18"/>
  <c r="I10" i="18"/>
  <c r="J10" i="18"/>
  <c r="I22" i="18"/>
  <c r="J22" i="18"/>
  <c r="I4" i="18"/>
  <c r="J4" i="18"/>
  <c r="I43" i="18"/>
  <c r="J43" i="18"/>
  <c r="I2" i="18"/>
  <c r="J2" i="18"/>
  <c r="I24" i="18"/>
  <c r="J24" i="18"/>
  <c r="I5" i="18"/>
  <c r="J5" i="18"/>
  <c r="I35" i="18"/>
  <c r="J35" i="18"/>
  <c r="I25" i="18"/>
  <c r="J25" i="18"/>
  <c r="I3" i="18"/>
  <c r="J3" i="18"/>
  <c r="I46" i="18"/>
  <c r="J46" i="18"/>
  <c r="I17" i="18"/>
  <c r="J17" i="18"/>
  <c r="I21" i="18"/>
  <c r="J21" i="18"/>
  <c r="I16" i="18"/>
  <c r="J16" i="18"/>
  <c r="I40" i="18"/>
  <c r="J40" i="18"/>
  <c r="I13" i="18"/>
  <c r="J13" i="18"/>
  <c r="I47" i="18"/>
  <c r="J47" i="18"/>
  <c r="I14" i="18"/>
  <c r="J14" i="18"/>
  <c r="I33" i="18"/>
  <c r="J33" i="18"/>
  <c r="I15" i="18"/>
  <c r="J15" i="18"/>
  <c r="I55" i="18"/>
  <c r="J55" i="18"/>
  <c r="I61" i="18"/>
  <c r="J61" i="18"/>
  <c r="I52" i="18"/>
  <c r="J52" i="18"/>
  <c r="I32" i="18"/>
  <c r="J32" i="18"/>
  <c r="I27" i="18"/>
  <c r="J27" i="18"/>
  <c r="I58" i="18"/>
  <c r="J58" i="18"/>
  <c r="H49" i="18"/>
  <c r="H67" i="29" s="1"/>
  <c r="I67" i="29" s="1"/>
  <c r="H62" i="18"/>
  <c r="H50" i="18"/>
  <c r="H51" i="18"/>
  <c r="H60" i="18"/>
  <c r="H48" i="18"/>
  <c r="H38" i="18"/>
  <c r="E10" i="18"/>
  <c r="E11" i="18"/>
  <c r="E12" i="18"/>
  <c r="E15" i="18"/>
  <c r="E16" i="18"/>
  <c r="E17" i="18"/>
  <c r="E18" i="18"/>
  <c r="E3" i="18"/>
  <c r="E4" i="18"/>
  <c r="E5" i="18"/>
  <c r="E6" i="18"/>
  <c r="E7" i="18"/>
  <c r="E8" i="18"/>
  <c r="E9" i="18"/>
  <c r="E2" i="18"/>
  <c r="H23" i="29" l="1"/>
  <c r="I23" i="29" s="1"/>
  <c r="H89" i="29"/>
  <c r="I89" i="29" s="1"/>
  <c r="H45" i="29"/>
  <c r="I45" i="29" s="1"/>
  <c r="J59" i="18"/>
  <c r="I51" i="18"/>
  <c r="J51" i="18"/>
  <c r="I62" i="18"/>
  <c r="J62" i="18"/>
  <c r="I49" i="18"/>
  <c r="J49" i="18"/>
  <c r="I38" i="18"/>
  <c r="J38" i="18"/>
  <c r="I50" i="18"/>
  <c r="J50" i="18"/>
  <c r="I48" i="18"/>
  <c r="J48" i="18"/>
  <c r="I60" i="18"/>
  <c r="J60" i="18"/>
  <c r="K210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C9C36-532C-43C5-A072-38B64B4E1D66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7FB75A-4551-4114-88F3-5406EAD1A21B}" name="WorksheetConnection_WCC-PROJ-CONTROLE_MEDIÇÕES-R01.xlsx!tbContratos" type="102" refreshedVersion="7" minRefreshableVersion="5">
    <extLst>
      <ext xmlns:x15="http://schemas.microsoft.com/office/spreadsheetml/2010/11/main" uri="{DE250136-89BD-433C-8126-D09CA5730AF9}">
        <x15:connection id="tbContratos">
          <x15:rangePr sourceName="_xlcn.WorksheetConnection_WCCPROJCONTROLE_MEDIÇÕESR01.xlsxtbContratos1"/>
        </x15:connection>
      </ext>
    </extLst>
  </connection>
  <connection id="3" xr16:uid="{AB1C8B3B-6008-407A-91CD-2D800E2FC2C4}" name="WorksheetConnection_WCC-PROJ-CONTROLE_MEDIÇÕES-R01.xlsx!tbMedições" type="102" refreshedVersion="7" minRefreshableVersion="5">
    <extLst>
      <ext xmlns:x15="http://schemas.microsoft.com/office/spreadsheetml/2010/11/main" uri="{DE250136-89BD-433C-8126-D09CA5730AF9}">
        <x15:connection id="tbMedições">
          <x15:rangePr sourceName="_xlcn.WorksheetConnection_WCCPROJCONTROLE_MEDIÇÕESR01.xlsxtbMedições1"/>
        </x15:connection>
      </ext>
    </extLst>
  </connection>
  <connection id="4" xr16:uid="{139DED37-91D1-48CA-B4E6-956356DE7093}" name="WorksheetConnection_WCC-PROJ-CONTROLE_MEDIÇÕES-R01.xlsx!tbObras" type="102" refreshedVersion="7" minRefreshableVersion="5">
    <extLst>
      <ext xmlns:x15="http://schemas.microsoft.com/office/spreadsheetml/2010/11/main" uri="{DE250136-89BD-433C-8126-D09CA5730AF9}">
        <x15:connection id="tbObras">
          <x15:rangePr sourceName="_xlcn.WorksheetConnection_WCCPROJCONTROLE_MEDIÇÕESR01.xlsxtbObras1"/>
        </x15:connection>
      </ext>
    </extLst>
  </connection>
  <connection id="5" xr16:uid="{D87AF93F-0734-4AF2-A923-1808CDC06AB6}" name="WorksheetConnection_WCC-PROJ-CONTROLE_MEDIÇÕES-R01.xlsx!tbOrçamento" type="102" refreshedVersion="7" minRefreshableVersion="5">
    <extLst>
      <ext xmlns:x15="http://schemas.microsoft.com/office/spreadsheetml/2010/11/main" uri="{DE250136-89BD-433C-8126-D09CA5730AF9}">
        <x15:connection id="tbOrçamento">
          <x15:rangePr sourceName="_xlcn.WorksheetConnection_WCCPROJCONTROLE_MEDIÇÕESR01.xlsxtbOrçamento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<sst xmlns="http://schemas.openxmlformats.org/spreadsheetml/2006/main" count="2428" uniqueCount="711">
  <si>
    <t>Estudo de massa</t>
  </si>
  <si>
    <t>Emissão inicial EP</t>
  </si>
  <si>
    <t>Emissão final EP</t>
  </si>
  <si>
    <t>Emissão inicial PL</t>
  </si>
  <si>
    <t>1° Comunique-se</t>
  </si>
  <si>
    <t>2° Comunique-se</t>
  </si>
  <si>
    <t>Emissão alvará</t>
  </si>
  <si>
    <t>Aceite proposta</t>
  </si>
  <si>
    <t>Emissão PL</t>
  </si>
  <si>
    <t>Aceita proposta</t>
  </si>
  <si>
    <t xml:space="preserve">Emissão alvará </t>
  </si>
  <si>
    <t>Entrada</t>
  </si>
  <si>
    <t>Projeto preliminar</t>
  </si>
  <si>
    <t>Projeto pré-executivo</t>
  </si>
  <si>
    <t>Projeto executivo</t>
  </si>
  <si>
    <t>Total</t>
  </si>
  <si>
    <t>Assessoria PL parte 1</t>
  </si>
  <si>
    <t>Assessoria PL parte 2</t>
  </si>
  <si>
    <t>ART</t>
  </si>
  <si>
    <t>Pago</t>
  </si>
  <si>
    <t>Cancelada</t>
  </si>
  <si>
    <t>INTERIORES</t>
  </si>
  <si>
    <t>Aditivo pós PL</t>
  </si>
  <si>
    <t>SONDAGEM</t>
  </si>
  <si>
    <t>CONSULTORIA</t>
  </si>
  <si>
    <t>LEGALIZAÇÃO</t>
  </si>
  <si>
    <t>PGRCC</t>
  </si>
  <si>
    <t>Rótulos de Linha</t>
  </si>
  <si>
    <t>Total Geral</t>
  </si>
  <si>
    <t>PLANIALTIMÉTRICO</t>
  </si>
  <si>
    <t>Levantamento + unificação</t>
  </si>
  <si>
    <t>Levantamento</t>
  </si>
  <si>
    <t>Acompanhamento PMU e Habite-se</t>
  </si>
  <si>
    <t>FUNDAÇÃO</t>
  </si>
  <si>
    <t>BINV</t>
  </si>
  <si>
    <t>COMPLEMENTARES</t>
  </si>
  <si>
    <t>CRT</t>
  </si>
  <si>
    <t>CREA</t>
  </si>
  <si>
    <t>PMU</t>
  </si>
  <si>
    <t>DESEMPENHO</t>
  </si>
  <si>
    <t>A contratar</t>
  </si>
  <si>
    <t>FACHADA</t>
  </si>
  <si>
    <t>ESQUADRIAS</t>
  </si>
  <si>
    <t>CFTV</t>
  </si>
  <si>
    <t>CC</t>
  </si>
  <si>
    <t>CÓDIGO</t>
  </si>
  <si>
    <t>OBRA</t>
  </si>
  <si>
    <t>ALT</t>
  </si>
  <si>
    <t>Altamira</t>
  </si>
  <si>
    <t>Sondagem</t>
  </si>
  <si>
    <t>GLP</t>
  </si>
  <si>
    <t>NOME</t>
  </si>
  <si>
    <t>ENDEREÇO</t>
  </si>
  <si>
    <t>PAI3</t>
  </si>
  <si>
    <t>OTI</t>
  </si>
  <si>
    <t>MON</t>
  </si>
  <si>
    <t>GAL</t>
  </si>
  <si>
    <t>PQSUL</t>
  </si>
  <si>
    <t>LIB</t>
  </si>
  <si>
    <t>UNA</t>
  </si>
  <si>
    <t>SEFAZ</t>
  </si>
  <si>
    <t>STM</t>
  </si>
  <si>
    <t>Paineiras 3</t>
  </si>
  <si>
    <t>Otília</t>
  </si>
  <si>
    <t>Monterré</t>
  </si>
  <si>
    <t>Galassi</t>
  </si>
  <si>
    <t>Parque Sul</t>
  </si>
  <si>
    <t>Liberdade</t>
  </si>
  <si>
    <t>Santa Mônica</t>
  </si>
  <si>
    <t>Galassi SEFAZ</t>
  </si>
  <si>
    <t>STATUS</t>
  </si>
  <si>
    <t>OBRA_ID</t>
  </si>
  <si>
    <t>DISCIPLINA</t>
  </si>
  <si>
    <t>SUBDISCIPLINA</t>
  </si>
  <si>
    <t>FORNECEDOR_ID</t>
  </si>
  <si>
    <t>FORNECEDOR</t>
  </si>
  <si>
    <t>TIPO</t>
  </si>
  <si>
    <t>CONTRATO_ID</t>
  </si>
  <si>
    <t>EMPRESA</t>
  </si>
  <si>
    <t>VALOR CONTRATADO</t>
  </si>
  <si>
    <t>MBUIATE</t>
  </si>
  <si>
    <t>ARCIS</t>
  </si>
  <si>
    <t>VERTICAL</t>
  </si>
  <si>
    <t>DALTON</t>
  </si>
  <si>
    <t>KARINA</t>
  </si>
  <si>
    <t>GEOMETA</t>
  </si>
  <si>
    <t>GEOMETRIA</t>
  </si>
  <si>
    <t>EMMIG</t>
  </si>
  <si>
    <t>DOMANI</t>
  </si>
  <si>
    <t>VANIA</t>
  </si>
  <si>
    <t>JP SERVIÇOS</t>
  </si>
  <si>
    <t>ESTRUTURA</t>
  </si>
  <si>
    <t>ORÇAMENTO</t>
  </si>
  <si>
    <t>GÊMEAS</t>
  </si>
  <si>
    <t>THAIS</t>
  </si>
  <si>
    <t>CARTÓRIO</t>
  </si>
  <si>
    <t>RECEITA</t>
  </si>
  <si>
    <t>SOMA</t>
  </si>
  <si>
    <t>IDEAL</t>
  </si>
  <si>
    <t>GEOMAP</t>
  </si>
  <si>
    <t>COSTA</t>
  </si>
  <si>
    <t>NUM SIENGE</t>
  </si>
  <si>
    <t>DISCIPLINA_ID</t>
  </si>
  <si>
    <t>ARQUITETURA</t>
  </si>
  <si>
    <t>ARQUITETURA EXECUTIVA</t>
  </si>
  <si>
    <t>ESCORAMENTO</t>
  </si>
  <si>
    <t>HIDROSSANITÁRIO</t>
  </si>
  <si>
    <t>ELÉTRICO</t>
  </si>
  <si>
    <t>COMUNICAÇÃO</t>
  </si>
  <si>
    <t>SPDA</t>
  </si>
  <si>
    <t>GÁS</t>
  </si>
  <si>
    <t>CLIMATIZAÇÃO</t>
  </si>
  <si>
    <t>INCÊNDIO</t>
  </si>
  <si>
    <t>ARQUITERURA LEGAL</t>
  </si>
  <si>
    <t>ESTRUTURA DE CONCRETO</t>
  </si>
  <si>
    <t>ESTRUTURA DE AÇO</t>
  </si>
  <si>
    <t>ESTRUTURA DE MADEIRA</t>
  </si>
  <si>
    <t>PRESSURIZAÇÃO</t>
  </si>
  <si>
    <t>MARKUP</t>
  </si>
  <si>
    <t>FUNDAÇÃO PROFUNDA</t>
  </si>
  <si>
    <t>CONTENÇÕES</t>
  </si>
  <si>
    <t>PISO SUBSOLO</t>
  </si>
  <si>
    <t>PAISAGISMO</t>
  </si>
  <si>
    <t>COMPATIBILIZAÇÃO</t>
  </si>
  <si>
    <t>PISCINA</t>
  </si>
  <si>
    <t>IMPERMEABILIZAÇÃO</t>
  </si>
  <si>
    <t>SEGURANÇA</t>
  </si>
  <si>
    <t>INFRAESTRUTURA</t>
  </si>
  <si>
    <t>INTERLIGAÇÃO ÁGUA</t>
  </si>
  <si>
    <t>INTERLIGAÇÃO ELÉTRICA</t>
  </si>
  <si>
    <t>INTERLIGAÇÃO ESGOTO</t>
  </si>
  <si>
    <t>INTERLIGAÇÃO DRENAGEM PLUVIAL</t>
  </si>
  <si>
    <t>PROLONGAMENTO REDE</t>
  </si>
  <si>
    <t>ELÉTRICO MÉDIA TENSÃO</t>
  </si>
  <si>
    <t>TERRAPLANAGEM</t>
  </si>
  <si>
    <t>ABASTECIMENTO DE ÁGUA</t>
  </si>
  <si>
    <t>ESGOTO SANITÁRIO</t>
  </si>
  <si>
    <t>DRENAGEM PLUVIAL</t>
  </si>
  <si>
    <t>PAVIMENTAÇÃO</t>
  </si>
  <si>
    <t>ARQ</t>
  </si>
  <si>
    <t>EST</t>
  </si>
  <si>
    <t>COM</t>
  </si>
  <si>
    <t>SON</t>
  </si>
  <si>
    <t>FUN</t>
  </si>
  <si>
    <t>INT</t>
  </si>
  <si>
    <t>COMP</t>
  </si>
  <si>
    <t>PLAN</t>
  </si>
  <si>
    <t>FCH</t>
  </si>
  <si>
    <t>ESQ</t>
  </si>
  <si>
    <t>IMP</t>
  </si>
  <si>
    <t>SEG</t>
  </si>
  <si>
    <t>DES</t>
  </si>
  <si>
    <t>INF</t>
  </si>
  <si>
    <t>ARQ_LEGAL</t>
  </si>
  <si>
    <t>ARQ_EXE</t>
  </si>
  <si>
    <t>EST_CON</t>
  </si>
  <si>
    <t>EST_MET</t>
  </si>
  <si>
    <t>EST_MAD</t>
  </si>
  <si>
    <t>EST_ESC</t>
  </si>
  <si>
    <t>HID</t>
  </si>
  <si>
    <t>ELE</t>
  </si>
  <si>
    <t>CLI</t>
  </si>
  <si>
    <t>PCI</t>
  </si>
  <si>
    <t>PRE</t>
  </si>
  <si>
    <t>MKP</t>
  </si>
  <si>
    <t>PIS</t>
  </si>
  <si>
    <t>MOD</t>
  </si>
  <si>
    <t>FUN_PRO</t>
  </si>
  <si>
    <t>PSG</t>
  </si>
  <si>
    <t>INF_DMAE</t>
  </si>
  <si>
    <t>INF_CEMIG</t>
  </si>
  <si>
    <t>TER</t>
  </si>
  <si>
    <t>ABA</t>
  </si>
  <si>
    <t>SES</t>
  </si>
  <si>
    <t>DRE</t>
  </si>
  <si>
    <t>PAV</t>
  </si>
  <si>
    <t>COD_DISCIPLINA</t>
  </si>
  <si>
    <t>COD_SUBDISCIPLINA</t>
  </si>
  <si>
    <t>OBR001</t>
  </si>
  <si>
    <t>OBR002</t>
  </si>
  <si>
    <t>OBR003</t>
  </si>
  <si>
    <t>OBR004</t>
  </si>
  <si>
    <t>OBR005</t>
  </si>
  <si>
    <t>OBR006</t>
  </si>
  <si>
    <t>OBR007</t>
  </si>
  <si>
    <t>OBR008</t>
  </si>
  <si>
    <t>OBR009</t>
  </si>
  <si>
    <t>OBR010</t>
  </si>
  <si>
    <t>DIS001</t>
  </si>
  <si>
    <t>DIS002</t>
  </si>
  <si>
    <t>DIS003</t>
  </si>
  <si>
    <t>DIS004</t>
  </si>
  <si>
    <t>DIS005</t>
  </si>
  <si>
    <t>DIS006</t>
  </si>
  <si>
    <t>DIS007</t>
  </si>
  <si>
    <t>DIS008</t>
  </si>
  <si>
    <t>DIS009</t>
  </si>
  <si>
    <t>DIS010</t>
  </si>
  <si>
    <t>DIS011</t>
  </si>
  <si>
    <t>DIS012</t>
  </si>
  <si>
    <t>DIS013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</si>
  <si>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</si>
  <si>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</si>
  <si>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</si>
  <si>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</si>
  <si>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</si>
  <si>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</si>
  <si>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</si>
  <si>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</si>
  <si>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</si>
  <si>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</si>
  <si>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</si>
  <si>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</si>
  <si>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</si>
  <si>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</si>
  <si>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</si>
  <si>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</si>
  <si>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</si>
  <si>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</si>
  <si>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</si>
  <si>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</si>
  <si>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</si>
  <si>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</si>
  <si>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</si>
  <si>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</si>
  <si>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</si>
  <si>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</si>
  <si>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</si>
  <si>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</si>
  <si>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</si>
  <si>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</si>
  <si>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</si>
  <si>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</si>
  <si>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</si>
  <si>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</si>
  <si>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</si>
  <si>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</si>
  <si>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</si>
  <si>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</si>
  <si>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</si>
  <si>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</si>
  <si>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</si>
  <si>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FOR001</t>
  </si>
  <si>
    <t>FOR002</t>
  </si>
  <si>
    <t>FOR003</t>
  </si>
  <si>
    <t>FOR004</t>
  </si>
  <si>
    <t>FOR005</t>
  </si>
  <si>
    <t>FOR006</t>
  </si>
  <si>
    <t>FOR007</t>
  </si>
  <si>
    <t>FOR008</t>
  </si>
  <si>
    <t>FOR009</t>
  </si>
  <si>
    <t>FOR010</t>
  </si>
  <si>
    <t>FOR011</t>
  </si>
  <si>
    <t>FOR012</t>
  </si>
  <si>
    <t>FOR013</t>
  </si>
  <si>
    <t>FOR014</t>
  </si>
  <si>
    <t>FOR015</t>
  </si>
  <si>
    <t>FOR016</t>
  </si>
  <si>
    <t>FOR017</t>
  </si>
  <si>
    <t>FOR018</t>
  </si>
  <si>
    <t>FOR019</t>
  </si>
  <si>
    <t>FOR020</t>
  </si>
  <si>
    <t>FOR021</t>
  </si>
  <si>
    <t>FOR022</t>
  </si>
  <si>
    <t>FOR023</t>
  </si>
  <si>
    <t>CT001</t>
  </si>
  <si>
    <t>CT002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</si>
  <si>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</si>
  <si>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</si>
  <si>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</si>
  <si>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</si>
  <si>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</si>
  <si>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</si>
  <si>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</si>
  <si>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</si>
  <si>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CT011</t>
  </si>
  <si>
    <t>CT012</t>
  </si>
  <si>
    <t>CT013</t>
  </si>
  <si>
    <t>CT014</t>
  </si>
  <si>
    <t>CT015</t>
  </si>
  <si>
    <t>CT016</t>
  </si>
  <si>
    <t>CT017</t>
  </si>
  <si>
    <t>CT018</t>
  </si>
  <si>
    <t>CT019</t>
  </si>
  <si>
    <t>CT020</t>
  </si>
  <si>
    <t>CT021</t>
  </si>
  <si>
    <t>CT022</t>
  </si>
  <si>
    <t>CT023</t>
  </si>
  <si>
    <t>CT024</t>
  </si>
  <si>
    <t>CT025</t>
  </si>
  <si>
    <t>CT026</t>
  </si>
  <si>
    <t>CT027</t>
  </si>
  <si>
    <t>CT028</t>
  </si>
  <si>
    <t>CT029</t>
  </si>
  <si>
    <t>CT030</t>
  </si>
  <si>
    <t>CT031</t>
  </si>
  <si>
    <t>CT032</t>
  </si>
  <si>
    <t>CT033</t>
  </si>
  <si>
    <t xml:space="preserve">ORÇAMENTO BASE </t>
  </si>
  <si>
    <t xml:space="preserve">STATUS </t>
  </si>
  <si>
    <t>NOME OBRA</t>
  </si>
  <si>
    <t>Status orçamento</t>
  </si>
  <si>
    <t>Contratado</t>
  </si>
  <si>
    <t>Em cotação</t>
  </si>
  <si>
    <t>Em cotratação</t>
  </si>
  <si>
    <t>SUB043</t>
  </si>
  <si>
    <t>LEG</t>
  </si>
  <si>
    <t>ORC</t>
  </si>
  <si>
    <t>DIS014</t>
  </si>
  <si>
    <t>DIS015</t>
  </si>
  <si>
    <t>PROTOCOLO</t>
  </si>
  <si>
    <t>RESTRIÇÃO URBANÍSTICA</t>
  </si>
  <si>
    <t>VIABILIDADE DMAE</t>
  </si>
  <si>
    <t>TAXA</t>
  </si>
  <si>
    <t>IMPOSTOS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</si>
  <si>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</si>
  <si>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</si>
  <si>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</si>
  <si>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</si>
  <si>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</si>
  <si>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</si>
  <si>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</si>
  <si>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</si>
  <si>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PARAMÉTRICO</t>
  </si>
  <si>
    <t>PRELIMINAR</t>
  </si>
  <si>
    <t>EXECUTIVO</t>
  </si>
  <si>
    <t>SUB052</t>
  </si>
  <si>
    <t>SUB053</t>
  </si>
  <si>
    <t>SUB054</t>
  </si>
  <si>
    <t>PRO</t>
  </si>
  <si>
    <t>RU</t>
  </si>
  <si>
    <t>VIB</t>
  </si>
  <si>
    <t>PAR</t>
  </si>
  <si>
    <t>EXE</t>
  </si>
  <si>
    <t>IMPT</t>
  </si>
  <si>
    <t>PLANEJAMENTO</t>
  </si>
  <si>
    <t>PLA</t>
  </si>
  <si>
    <t>SUB055</t>
  </si>
  <si>
    <t>SUB056</t>
  </si>
  <si>
    <t>DIS016</t>
  </si>
  <si>
    <t>SUB057</t>
  </si>
  <si>
    <t>SUB058</t>
  </si>
  <si>
    <t>FUNDAÇÃO SUPERFICIAL</t>
  </si>
  <si>
    <t>EST_FUN</t>
  </si>
  <si>
    <t>EST_PISO</t>
  </si>
  <si>
    <t>ENERGIA ELÉTRICA</t>
  </si>
  <si>
    <t>INF_ELE</t>
  </si>
  <si>
    <t>ALVARÁ</t>
  </si>
  <si>
    <t>ALV</t>
  </si>
  <si>
    <t>ID SIENGE</t>
  </si>
  <si>
    <t>ETAPA</t>
  </si>
  <si>
    <t>PERCENTUAL</t>
  </si>
  <si>
    <t>Cancelado</t>
  </si>
  <si>
    <t>CT034</t>
  </si>
  <si>
    <t>CT035</t>
  </si>
  <si>
    <t>CT036</t>
  </si>
  <si>
    <t>CT037</t>
  </si>
  <si>
    <t>CT038</t>
  </si>
  <si>
    <t>CT039</t>
  </si>
  <si>
    <t>CT040</t>
  </si>
  <si>
    <t>CT041</t>
  </si>
  <si>
    <t>CT042</t>
  </si>
  <si>
    <t>CT043</t>
  </si>
  <si>
    <t>CT044</t>
  </si>
  <si>
    <t>CT045</t>
  </si>
  <si>
    <t>CT046</t>
  </si>
  <si>
    <t>CT047</t>
  </si>
  <si>
    <t>CT048</t>
  </si>
  <si>
    <t>CT049</t>
  </si>
  <si>
    <t>CT050</t>
  </si>
  <si>
    <t>CT051</t>
  </si>
  <si>
    <t>CT052</t>
  </si>
  <si>
    <t>CT053</t>
  </si>
  <si>
    <t>CT054</t>
  </si>
  <si>
    <t>CT055</t>
  </si>
  <si>
    <t>CT056</t>
  </si>
  <si>
    <t>CT057</t>
  </si>
  <si>
    <t>CT058</t>
  </si>
  <si>
    <t>CT059</t>
  </si>
  <si>
    <t>CT060</t>
  </si>
  <si>
    <t>DATA MEDIÇÃO</t>
  </si>
  <si>
    <t>VALOR MEDIDO</t>
  </si>
  <si>
    <t>NF</t>
  </si>
  <si>
    <t>MED001</t>
  </si>
  <si>
    <t>MED002</t>
  </si>
  <si>
    <t>MED003</t>
  </si>
  <si>
    <t>MED004</t>
  </si>
  <si>
    <t>MED005</t>
  </si>
  <si>
    <t>MED006</t>
  </si>
  <si>
    <t>MED007</t>
  </si>
  <si>
    <t>DATA PREVISTA</t>
  </si>
  <si>
    <t>Status medições</t>
  </si>
  <si>
    <t>A fazer</t>
  </si>
  <si>
    <t>Em andamento</t>
  </si>
  <si>
    <t>Medido</t>
  </si>
  <si>
    <t>Estudo preliminar</t>
  </si>
  <si>
    <t>Anteprojeto</t>
  </si>
  <si>
    <t>Projeto básico</t>
  </si>
  <si>
    <t>Executivo 1</t>
  </si>
  <si>
    <t>Executivo 2</t>
  </si>
  <si>
    <t>Fachada EP</t>
  </si>
  <si>
    <t>Fachada AP</t>
  </si>
  <si>
    <t>Fachada EX</t>
  </si>
  <si>
    <t>Pipa para sondagem</t>
  </si>
  <si>
    <t>CT061</t>
  </si>
  <si>
    <t>Vigia para sondagem</t>
  </si>
  <si>
    <t>MED008</t>
  </si>
  <si>
    <t>MED009</t>
  </si>
  <si>
    <t>MED010</t>
  </si>
  <si>
    <t>MED011</t>
  </si>
  <si>
    <t>MED012</t>
  </si>
  <si>
    <t>MED013</t>
  </si>
  <si>
    <t>MED014</t>
  </si>
  <si>
    <t>MED015</t>
  </si>
  <si>
    <t>MED016</t>
  </si>
  <si>
    <t>MED017</t>
  </si>
  <si>
    <t>MED018</t>
  </si>
  <si>
    <t>MED019</t>
  </si>
  <si>
    <t>MED020</t>
  </si>
  <si>
    <t>MED021</t>
  </si>
  <si>
    <t>MED022</t>
  </si>
  <si>
    <t>MED023</t>
  </si>
  <si>
    <t>MED024</t>
  </si>
  <si>
    <t>MED025</t>
  </si>
  <si>
    <t>MED026</t>
  </si>
  <si>
    <t>MED027</t>
  </si>
  <si>
    <t>MED028</t>
  </si>
  <si>
    <t>MED029</t>
  </si>
  <si>
    <t>MED030</t>
  </si>
  <si>
    <t>MED031</t>
  </si>
  <si>
    <t>MED032</t>
  </si>
  <si>
    <t>MED033</t>
  </si>
  <si>
    <t>MED034</t>
  </si>
  <si>
    <t>MED035</t>
  </si>
  <si>
    <t>MED036</t>
  </si>
  <si>
    <t>MED037</t>
  </si>
  <si>
    <t>MED038</t>
  </si>
  <si>
    <t>MED039</t>
  </si>
  <si>
    <t>MED040</t>
  </si>
  <si>
    <t>MED041</t>
  </si>
  <si>
    <t>MED042</t>
  </si>
  <si>
    <t>MED043</t>
  </si>
  <si>
    <t>MED044</t>
  </si>
  <si>
    <t>MED045</t>
  </si>
  <si>
    <t>MED046</t>
  </si>
  <si>
    <t>MED047</t>
  </si>
  <si>
    <t>MED048</t>
  </si>
  <si>
    <t>MED049</t>
  </si>
  <si>
    <t>MED050</t>
  </si>
  <si>
    <t>MED051</t>
  </si>
  <si>
    <t>MED052</t>
  </si>
  <si>
    <t>MED053</t>
  </si>
  <si>
    <t>MED054</t>
  </si>
  <si>
    <t>MED055</t>
  </si>
  <si>
    <t>MED056</t>
  </si>
  <si>
    <t>MED057</t>
  </si>
  <si>
    <t>MED058</t>
  </si>
  <si>
    <t>MED059</t>
  </si>
  <si>
    <t>MED060</t>
  </si>
  <si>
    <t>MED061</t>
  </si>
  <si>
    <t>MED062</t>
  </si>
  <si>
    <t>MED063</t>
  </si>
  <si>
    <t>MED064</t>
  </si>
  <si>
    <t>MED065</t>
  </si>
  <si>
    <t>MED066</t>
  </si>
  <si>
    <t>MED067</t>
  </si>
  <si>
    <t>MED068</t>
  </si>
  <si>
    <t>MED069</t>
  </si>
  <si>
    <t>MED070</t>
  </si>
  <si>
    <t>MED071</t>
  </si>
  <si>
    <t>MED072</t>
  </si>
  <si>
    <t>MED073</t>
  </si>
  <si>
    <t>MED074</t>
  </si>
  <si>
    <t>MED075</t>
  </si>
  <si>
    <t>MED076</t>
  </si>
  <si>
    <t>Desenvolvimento PL</t>
  </si>
  <si>
    <t>Executivo</t>
  </si>
  <si>
    <t>MED077</t>
  </si>
  <si>
    <t>MED078</t>
  </si>
  <si>
    <t>MED079</t>
  </si>
  <si>
    <t>MED080</t>
  </si>
  <si>
    <t>MED081</t>
  </si>
  <si>
    <t>MED082</t>
  </si>
  <si>
    <t>MED083</t>
  </si>
  <si>
    <t>MED084</t>
  </si>
  <si>
    <t>MED085</t>
  </si>
  <si>
    <t>MED086</t>
  </si>
  <si>
    <t>Anteprojeto + Executivo</t>
  </si>
  <si>
    <t>Distrato</t>
  </si>
  <si>
    <t>MED087</t>
  </si>
  <si>
    <t>MED088</t>
  </si>
  <si>
    <t>MED089</t>
  </si>
  <si>
    <t>MED090</t>
  </si>
  <si>
    <t>MED091</t>
  </si>
  <si>
    <t>MED092</t>
  </si>
  <si>
    <t>MED093</t>
  </si>
  <si>
    <t>MED094</t>
  </si>
  <si>
    <t>MED095</t>
  </si>
  <si>
    <t>MED096</t>
  </si>
  <si>
    <t>MED097</t>
  </si>
  <si>
    <t>MED098</t>
  </si>
  <si>
    <t>MED099</t>
  </si>
  <si>
    <t>MED100</t>
  </si>
  <si>
    <t>MED101</t>
  </si>
  <si>
    <t>MED102</t>
  </si>
  <si>
    <t>MED103</t>
  </si>
  <si>
    <t>MED104</t>
  </si>
  <si>
    <t>MED105</t>
  </si>
  <si>
    <t>MED106</t>
  </si>
  <si>
    <t>MED107</t>
  </si>
  <si>
    <t>MED108</t>
  </si>
  <si>
    <t>MED109</t>
  </si>
  <si>
    <t>MED110</t>
  </si>
  <si>
    <t>Análise técnica</t>
  </si>
  <si>
    <t>Pré-executivo</t>
  </si>
  <si>
    <t>Comp ARQxEST</t>
  </si>
  <si>
    <t>1ª Comp geral</t>
  </si>
  <si>
    <t>2ª Comp geral</t>
  </si>
  <si>
    <t>Modelagem arq</t>
  </si>
  <si>
    <t>Modelagem terraplanagem</t>
  </si>
  <si>
    <t>Comp ARQxTER</t>
  </si>
  <si>
    <t>Comp geral - implantação</t>
  </si>
  <si>
    <t>MED111</t>
  </si>
  <si>
    <t>MED112</t>
  </si>
  <si>
    <t>MED113</t>
  </si>
  <si>
    <t>MED114</t>
  </si>
  <si>
    <t>MED115</t>
  </si>
  <si>
    <t>MED116</t>
  </si>
  <si>
    <t>MED117</t>
  </si>
  <si>
    <t>MED118</t>
  </si>
  <si>
    <t>MED119</t>
  </si>
  <si>
    <t>MED120</t>
  </si>
  <si>
    <t>MED121</t>
  </si>
  <si>
    <t>MED122</t>
  </si>
  <si>
    <t>MED123</t>
  </si>
  <si>
    <t>MED124</t>
  </si>
  <si>
    <t>MED125</t>
  </si>
  <si>
    <t>MED126</t>
  </si>
  <si>
    <t>MED127</t>
  </si>
  <si>
    <t>MED128</t>
  </si>
  <si>
    <t>MED129</t>
  </si>
  <si>
    <t>MED130</t>
  </si>
  <si>
    <t>MED131</t>
  </si>
  <si>
    <t>MED132</t>
  </si>
  <si>
    <t>MED133</t>
  </si>
  <si>
    <t>MED134</t>
  </si>
  <si>
    <t>MED135</t>
  </si>
  <si>
    <t>MED136</t>
  </si>
  <si>
    <t>MED137</t>
  </si>
  <si>
    <t>MED138</t>
  </si>
  <si>
    <t>MED139</t>
  </si>
  <si>
    <t>MED140</t>
  </si>
  <si>
    <t>MED141</t>
  </si>
  <si>
    <t>MED142</t>
  </si>
  <si>
    <t>MED143</t>
  </si>
  <si>
    <t>MED144</t>
  </si>
  <si>
    <t>MED145</t>
  </si>
  <si>
    <t>MED146</t>
  </si>
  <si>
    <t>MED147</t>
  </si>
  <si>
    <t>MED148</t>
  </si>
  <si>
    <t>MED149</t>
  </si>
  <si>
    <t>MED150</t>
  </si>
  <si>
    <t>MED151</t>
  </si>
  <si>
    <t>DATA PAGAMENTO</t>
  </si>
  <si>
    <t>MED152</t>
  </si>
  <si>
    <t>MED153</t>
  </si>
  <si>
    <t>MED154</t>
  </si>
  <si>
    <t>MED155</t>
  </si>
  <si>
    <t>Entrega laudo</t>
  </si>
  <si>
    <t>MED156</t>
  </si>
  <si>
    <t>MED157</t>
  </si>
  <si>
    <t>MED158</t>
  </si>
  <si>
    <t>MED159</t>
  </si>
  <si>
    <t>LAUDO DE RUÍDO</t>
  </si>
  <si>
    <t>RUI</t>
  </si>
  <si>
    <t>SUB059</t>
  </si>
  <si>
    <t>SUB060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</si>
  <si>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</si>
  <si>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</si>
  <si>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</si>
  <si>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</si>
  <si>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</si>
  <si>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</si>
  <si>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</si>
  <si>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</si>
  <si>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</si>
  <si>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</si>
  <si>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MED160</t>
  </si>
  <si>
    <t>MED161</t>
  </si>
  <si>
    <t>MED162</t>
  </si>
  <si>
    <t>MED163</t>
  </si>
  <si>
    <t>MED164</t>
  </si>
  <si>
    <t>MED165</t>
  </si>
  <si>
    <t>MED166</t>
  </si>
  <si>
    <t>MED167</t>
  </si>
  <si>
    <t>MED168</t>
  </si>
  <si>
    <t>MED169</t>
  </si>
  <si>
    <t>MED170</t>
  </si>
  <si>
    <t>MED171</t>
  </si>
  <si>
    <t>MED172</t>
  </si>
  <si>
    <t>MED173</t>
  </si>
  <si>
    <t>MED174</t>
  </si>
  <si>
    <t>MED175</t>
  </si>
  <si>
    <t>MED176</t>
  </si>
  <si>
    <t>MED177</t>
  </si>
  <si>
    <t>MED178</t>
  </si>
  <si>
    <t>MED179</t>
  </si>
  <si>
    <t>MED180</t>
  </si>
  <si>
    <t>MED181</t>
  </si>
  <si>
    <t>MED182</t>
  </si>
  <si>
    <t>MED183</t>
  </si>
  <si>
    <t>MED184</t>
  </si>
  <si>
    <t>MED185</t>
  </si>
  <si>
    <t>MED186</t>
  </si>
  <si>
    <t>MED187</t>
  </si>
  <si>
    <t>MED188</t>
  </si>
  <si>
    <t>MED189</t>
  </si>
  <si>
    <t>MED190</t>
  </si>
  <si>
    <t>MED191</t>
  </si>
  <si>
    <t>MED192</t>
  </si>
  <si>
    <t>MED193</t>
  </si>
  <si>
    <t>MED194</t>
  </si>
  <si>
    <t>MED195</t>
  </si>
  <si>
    <t>MED196</t>
  </si>
  <si>
    <t>MED197</t>
  </si>
  <si>
    <t>MED198</t>
  </si>
  <si>
    <t>MED199</t>
  </si>
  <si>
    <t>MED200</t>
  </si>
  <si>
    <t>MED201</t>
  </si>
  <si>
    <t>MED202</t>
  </si>
  <si>
    <t>MED203</t>
  </si>
  <si>
    <t>MED204</t>
  </si>
  <si>
    <t>Conteção</t>
  </si>
  <si>
    <t>Casas</t>
  </si>
  <si>
    <t>Executivo fund rasa + contenções</t>
  </si>
  <si>
    <t>MED205</t>
  </si>
  <si>
    <t>MED206</t>
  </si>
  <si>
    <t>MED207</t>
  </si>
  <si>
    <t>MED208</t>
  </si>
  <si>
    <t>MED209</t>
  </si>
  <si>
    <t>TAXAS</t>
  </si>
  <si>
    <t>FOR024</t>
  </si>
  <si>
    <t>CRT - ART</t>
  </si>
  <si>
    <t>CREA - ART</t>
  </si>
  <si>
    <t>PMU - PROTOCOLO</t>
  </si>
  <si>
    <t>PMU - CERTIDÕES</t>
  </si>
  <si>
    <t>Receita - Impostos demolição</t>
  </si>
  <si>
    <t>CARTÓRIO - LEGALIZAÇÃO TERRENO</t>
  </si>
  <si>
    <t>MED210</t>
  </si>
  <si>
    <t>MED211</t>
  </si>
  <si>
    <t>MED212</t>
  </si>
  <si>
    <t>MED213</t>
  </si>
  <si>
    <t>MED214</t>
  </si>
  <si>
    <t>MED215</t>
  </si>
  <si>
    <t>MED216</t>
  </si>
  <si>
    <t>MED217</t>
  </si>
  <si>
    <t>MED218</t>
  </si>
  <si>
    <t>MED219</t>
  </si>
  <si>
    <t>MED220</t>
  </si>
  <si>
    <t>MED221</t>
  </si>
  <si>
    <t>MED222</t>
  </si>
  <si>
    <t>Soma de VALOR CONTRATADO</t>
  </si>
  <si>
    <t>SALDO A MEDIR</t>
  </si>
  <si>
    <t>PERCENTUAL MEDIDO</t>
  </si>
  <si>
    <t>A medir</t>
  </si>
  <si>
    <t>SALDO A CONTRATAR</t>
  </si>
  <si>
    <t>SALDO MEDIÇÃO</t>
  </si>
  <si>
    <t>Soma de SALDO A CONTRATAR</t>
  </si>
  <si>
    <t>Soma de VALOR MEDIDO</t>
  </si>
  <si>
    <t>VALOR MEDIÇÃO</t>
  </si>
  <si>
    <t>ORÇADO</t>
  </si>
  <si>
    <t>CONTRATADO</t>
  </si>
  <si>
    <t>A CONTRATAR</t>
  </si>
  <si>
    <t>MEDIDO</t>
  </si>
  <si>
    <t>DATA REFERÊNCIA</t>
  </si>
  <si>
    <t>VALOR CONTRATO</t>
  </si>
  <si>
    <t>MÊS</t>
  </si>
  <si>
    <t>25/05</t>
  </si>
  <si>
    <t>25/08</t>
  </si>
  <si>
    <t>26/02</t>
  </si>
  <si>
    <t>26/03</t>
  </si>
  <si>
    <t>26/06</t>
  </si>
  <si>
    <t>26/08</t>
  </si>
  <si>
    <t>26/09</t>
  </si>
  <si>
    <t>26/04</t>
  </si>
  <si>
    <t>26/07</t>
  </si>
  <si>
    <t>26/10</t>
  </si>
  <si>
    <t>26/11</t>
  </si>
  <si>
    <t>26/12</t>
  </si>
  <si>
    <t>26/01</t>
  </si>
  <si>
    <t>25/11</t>
  </si>
  <si>
    <t>26/05</t>
  </si>
  <si>
    <t>23/08</t>
  </si>
  <si>
    <t>25/12</t>
  </si>
  <si>
    <t>27/01</t>
  </si>
  <si>
    <t>27/02</t>
  </si>
  <si>
    <t>Desembolso</t>
  </si>
  <si>
    <t>Acumulado</t>
  </si>
  <si>
    <t>Soma de ORÇAMENTO BASE</t>
  </si>
  <si>
    <t>Soma de SALDO MEDIÇÃO</t>
  </si>
  <si>
    <t>DESEMBOLSO</t>
  </si>
  <si>
    <t>ACUMULADO</t>
  </si>
  <si>
    <t>Vertical</t>
  </si>
  <si>
    <t>VALOR</t>
  </si>
  <si>
    <t>CONTRATO</t>
  </si>
  <si>
    <t>MED2</t>
  </si>
  <si>
    <t>NF 06/08</t>
  </si>
  <si>
    <t>nf</t>
  </si>
  <si>
    <t>DIFF MED2 e NF 06/08</t>
  </si>
  <si>
    <t>PERCENTUAL DE DESCONTO</t>
  </si>
  <si>
    <t>CONTRATO DESCONTADO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</si>
</sst>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44" fontId="0" fillId="0" borderId="0" xfId="0" applyNumberForma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2" borderId="0" xfId="0" applyFont="1" applyFill="1"/>
    <xf numFmtId="0" fontId="0" fillId="0" borderId="0" xfId="0" applyFont="1"/>
    <xf numFmtId="0" fontId="0" fillId="0" borderId="0" xfId="0" applyAlignment="1">
      <alignment horizontal="center" vertical="top"/>
    </xf>
    <xf numFmtId="44" fontId="0" fillId="0" borderId="0" xfId="1" applyFont="1" applyAlignment="1">
      <alignment horizontal="center" vertical="top"/>
    </xf>
    <xf numFmtId="44" fontId="0" fillId="0" borderId="0" xfId="0" applyNumberFormat="1" applyAlignment="1">
      <alignment horizontal="center" vertical="top"/>
    </xf>
    <xf numFmtId="0" fontId="2" fillId="0" borderId="1" xfId="0" applyFont="1" applyBorder="1"/>
    <xf numFmtId="9" fontId="0" fillId="0" borderId="0" xfId="2" applyFont="1"/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top"/>
    </xf>
    <xf numFmtId="0" fontId="0" fillId="3" borderId="0" xfId="0" applyFont="1" applyFill="1"/>
    <xf numFmtId="0" fontId="0" fillId="0" borderId="0" xfId="0" applyNumberFormat="1"/>
    <xf numFmtId="44" fontId="0" fillId="0" borderId="0" xfId="1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9" fontId="2" fillId="0" borderId="2" xfId="2" applyNumberFormat="1" applyFont="1" applyBorder="1" applyAlignment="1">
      <alignment horizontal="center" vertical="top"/>
    </xf>
    <xf numFmtId="0" fontId="0" fillId="2" borderId="0" xfId="0" applyFont="1" applyFill="1" applyAlignment="1">
      <alignment horizontal="center" vertical="top"/>
    </xf>
    <xf numFmtId="44" fontId="0" fillId="2" borderId="0" xfId="0" applyNumberFormat="1" applyFont="1" applyFill="1" applyAlignment="1">
      <alignment horizontal="center" vertical="top"/>
    </xf>
    <xf numFmtId="9" fontId="0" fillId="2" borderId="0" xfId="2" applyNumberFormat="1" applyFont="1" applyFill="1" applyAlignment="1">
      <alignment horizontal="center" vertical="top"/>
    </xf>
    <xf numFmtId="0" fontId="0" fillId="0" borderId="0" xfId="0" applyFont="1" applyAlignment="1">
      <alignment horizontal="center" vertical="top"/>
    </xf>
    <xf numFmtId="44" fontId="0" fillId="0" borderId="0" xfId="0" applyNumberFormat="1" applyFont="1" applyAlignment="1">
      <alignment horizontal="center" vertical="top"/>
    </xf>
    <xf numFmtId="9" fontId="0" fillId="0" borderId="0" xfId="2" applyNumberFormat="1" applyFont="1" applyAlignment="1">
      <alignment horizontal="center" vertical="top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top"/>
    </xf>
    <xf numFmtId="44" fontId="0" fillId="2" borderId="1" xfId="0" applyNumberFormat="1" applyFont="1" applyFill="1" applyBorder="1" applyAlignment="1">
      <alignment horizontal="center" vertical="center"/>
    </xf>
    <xf numFmtId="9" fontId="0" fillId="2" borderId="1" xfId="2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6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[WCC-PROJ-CONTROLE_MEDIÇÕES-R01.xlsx]Cálculos!Tabela dinâmica3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Cálculos!$C$7</c:f>
              <c:strCache>
                <c:ptCount val="1"/>
                <c:pt idx="0">
                  <c:v>DESEMBOLSO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Cálculos!$B$8:$B$21</c:f>
              <c:strCache>
                <c:ptCount val="13"/>
                <c:pt idx="0">
                  <c:v>26/01</c:v>
                </c:pt>
                <c:pt idx="1">
                  <c:v>26/02</c:v>
                </c:pt>
                <c:pt idx="2">
                  <c:v>26/03</c:v>
                </c:pt>
                <c:pt idx="3">
                  <c:v>26/04</c:v>
                </c:pt>
                <c:pt idx="4">
                  <c:v>26/05</c:v>
                </c:pt>
                <c:pt idx="5">
                  <c:v>26/06</c:v>
                </c:pt>
                <c:pt idx="6">
                  <c:v>26/07</c:v>
                </c:pt>
                <c:pt idx="7">
                  <c:v>26/08</c:v>
                </c:pt>
                <c:pt idx="8">
                  <c:v>26/09</c:v>
                </c:pt>
                <c:pt idx="9">
                  <c:v>26/10</c:v>
                </c:pt>
                <c:pt idx="10">
                  <c:v>26/11</c:v>
                </c:pt>
                <c:pt idx="11">
                  <c:v>26/12</c:v>
                </c:pt>
                <c:pt idx="12">
                  <c:v>27/01</c:v>
                </c:pt>
              </c:strCache>
            </c:strRef>
          </c:cat>
          <c:val>
            <c:numRef>
              <c:f>Cálculos!$C$8:$C$21</c:f>
              <c:numCache>
                <c:formatCode>_("R$"* #,##0.00_);_("R$"* \(#,##0.00\);_("R$"* "-"??_);_(@_)</c:formatCode>
                <c:ptCount val="13"/>
                <c:pt idx="0">
                  <c:v>45000</c:v>
                </c:pt>
                <c:pt idx="1">
                  <c:v>2850</c:v>
                </c:pt>
                <c:pt idx="2">
                  <c:v>9993</c:v>
                </c:pt>
                <c:pt idx="3">
                  <c:v>9993</c:v>
                </c:pt>
                <c:pt idx="4">
                  <c:v>3399.6599999999994</c:v>
                </c:pt>
                <c:pt idx="5">
                  <c:v>65138.710000000006</c:v>
                </c:pt>
                <c:pt idx="6">
                  <c:v>79078.62</c:v>
                </c:pt>
                <c:pt idx="7">
                  <c:v>34661</c:v>
                </c:pt>
                <c:pt idx="8">
                  <c:v>55953</c:v>
                </c:pt>
                <c:pt idx="9">
                  <c:v>58037.229999999996</c:v>
                </c:pt>
                <c:pt idx="10">
                  <c:v>39179</c:v>
                </c:pt>
                <c:pt idx="11">
                  <c:v>41915</c:v>
                </c:pt>
                <c:pt idx="12">
                  <c:v>6490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A-4C68-8C78-BEFB0568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14735"/>
        <c:axId val="1593815151"/>
      </c:barChart>
      <c:lineChart>
        <c:grouping val="standard"/>
        <c:varyColors val="0"/>
        <c:ser>
          <c:idx val="1"/>
          <c:order val="1"/>
          <c:tx>
            <c:strRef>
              <c:f>Cálculos!$D$7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Cálculos!$B$8:$B$21</c:f>
              <c:strCache>
                <c:ptCount val="13"/>
                <c:pt idx="0">
                  <c:v>26/01</c:v>
                </c:pt>
                <c:pt idx="1">
                  <c:v>26/02</c:v>
                </c:pt>
                <c:pt idx="2">
                  <c:v>26/03</c:v>
                </c:pt>
                <c:pt idx="3">
                  <c:v>26/04</c:v>
                </c:pt>
                <c:pt idx="4">
                  <c:v>26/05</c:v>
                </c:pt>
                <c:pt idx="5">
                  <c:v>26/06</c:v>
                </c:pt>
                <c:pt idx="6">
                  <c:v>26/07</c:v>
                </c:pt>
                <c:pt idx="7">
                  <c:v>26/08</c:v>
                </c:pt>
                <c:pt idx="8">
                  <c:v>26/09</c:v>
                </c:pt>
                <c:pt idx="9">
                  <c:v>26/10</c:v>
                </c:pt>
                <c:pt idx="10">
                  <c:v>26/11</c:v>
                </c:pt>
                <c:pt idx="11">
                  <c:v>26/12</c:v>
                </c:pt>
                <c:pt idx="12">
                  <c:v>27/01</c:v>
                </c:pt>
              </c:strCache>
            </c:strRef>
          </c:cat>
          <c:val>
            <c:numRef>
              <c:f>Cálculos!$D$8:$D$21</c:f>
              <c:numCache>
                <c:formatCode>_("R$"* #,##0.00_);_("R$"* \(#,##0.00\);_("R$"* "-"??_);_(@_)</c:formatCode>
                <c:ptCount val="13"/>
                <c:pt idx="0">
                  <c:v>45000</c:v>
                </c:pt>
                <c:pt idx="1">
                  <c:v>47850</c:v>
                </c:pt>
                <c:pt idx="2">
                  <c:v>57843</c:v>
                </c:pt>
                <c:pt idx="3">
                  <c:v>67836</c:v>
                </c:pt>
                <c:pt idx="4">
                  <c:v>71235.66</c:v>
                </c:pt>
                <c:pt idx="5">
                  <c:v>136374.37</c:v>
                </c:pt>
                <c:pt idx="6">
                  <c:v>215452.99</c:v>
                </c:pt>
                <c:pt idx="7">
                  <c:v>250113.99</c:v>
                </c:pt>
                <c:pt idx="8">
                  <c:v>306066.99</c:v>
                </c:pt>
                <c:pt idx="9">
                  <c:v>364104.22</c:v>
                </c:pt>
                <c:pt idx="10">
                  <c:v>403283.22</c:v>
                </c:pt>
                <c:pt idx="11">
                  <c:v>445198.22</c:v>
                </c:pt>
                <c:pt idx="12">
                  <c:v>451688.22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A-4C68-8C78-BEFB0568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817647"/>
        <c:axId val="1593817231"/>
      </c:lineChart>
      <c:catAx>
        <c:axId val="159381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3815151"/>
        <c:crosses val="autoZero"/>
        <c:auto val="1"/>
        <c:lblAlgn val="ctr"/>
        <c:lblOffset val="100"/>
        <c:noMultiLvlLbl val="0"/>
      </c:catAx>
      <c:valAx>
        <c:axId val="15938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3814735"/>
        <c:crosses val="autoZero"/>
        <c:crossBetween val="between"/>
      </c:valAx>
      <c:valAx>
        <c:axId val="15938172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3817647"/>
        <c:crosses val="max"/>
        <c:crossBetween val="between"/>
      </c:valAx>
      <c:catAx>
        <c:axId val="159381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3817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14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ÓDIGO">
              <a:extLst>
                <a:ext uri="{FF2B5EF4-FFF2-40B4-BE49-F238E27FC236}">
                  <a16:creationId xmlns:a16="http://schemas.microsoft.com/office/drawing/2014/main" id="{FAF56AAE-62F3-47FA-A1C3-6FF0AC1AE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I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2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4</xdr:row>
      <xdr:rowOff>0</xdr:rowOff>
    </xdr:from>
    <xdr:to>
      <xdr:col>13</xdr:col>
      <xdr:colOff>198120</xdr:colOff>
      <xdr:row>25</xdr:row>
      <xdr:rowOff>45720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C8BE6-00F9-4080-AA8F-597AFC1D2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131916</xdr:colOff>
      <xdr:row>2</xdr:row>
      <xdr:rowOff>81117</xdr:rowOff>
    </xdr:from>
    <xdr:to>
      <xdr:col>40</xdr:col>
      <xdr:colOff>141748</xdr:colOff>
      <xdr:row>16</xdr:row>
      <xdr:rowOff>24479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BRA 1">
              <a:extLst>
                <a:ext uri="{FF2B5EF4-FFF2-40B4-BE49-F238E27FC236}">
                  <a16:creationId xmlns:a16="http://schemas.microsoft.com/office/drawing/2014/main" id="{F7184502-A899-42F1-8506-D81673DA76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31464" y="44163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Pena" refreshedDate="46239.394026273148" createdVersion="7" refreshedVersion="7" minRefreshableVersion="3" recordCount="222" xr:uid="{2077799C-2682-46C7-9B86-E74CC2986E04}">
  <cacheSource type="worksheet">
    <worksheetSource name="tbMedições"/>
  </cacheSource>
  <cacheFields count="20">
    <cacheField name="Estudo preliminar" numFmtId="0">
      <sharedItems/>
    </cacheField>
    <cacheField name="CONTRATO_ID" numFmtId="0">
      <sharedItems/>
    </cacheField>
    <cacheField name="EMPRESA" numFmtId="0">
      <sharedItems/>
    </cacheField>
    <cacheField name="OBRA" numFmtId="0">
      <sharedItems count="8">
        <s v="ALT"/>
        <s v="GAL"/>
        <s v="PQSUL"/>
        <s v="LIB"/>
        <s v="UNA"/>
        <s v="STM"/>
        <s v="SEFAZ"/>
        <s v="MON"/>
      </sharedItems>
    </cacheField>
    <cacheField name="ETAPA" numFmtId="0">
      <sharedItems/>
    </cacheField>
    <cacheField name="PERCENTUAL" numFmtId="0">
      <sharedItems containsSemiMixedTypes="0" containsString="0" containsNumber="1" minValue="4.4834970034087003E-5" maxValue="1"/>
    </cacheField>
    <cacheField name="DATA PREVISTA" numFmtId="0">
      <sharedItems containsNonDate="0" containsDate="1" containsString="0" containsBlank="1" minDate="2026-01-10T00:00:00" maxDate="2027-03-21T00:00:00" count="44">
        <m/>
        <d v="2026-09-03T00:00:00"/>
        <d v="2026-08-10T00:00:00"/>
        <d v="2026-09-10T00:00:00"/>
        <d v="2026-10-10T00:00:00"/>
        <d v="2026-11-10T00:00:00"/>
        <d v="2026-09-22T00:00:00"/>
        <d v="2026-10-22T00:00:00"/>
        <d v="2026-11-22T00:00:00"/>
        <d v="2026-12-22T00:00:00"/>
        <d v="2026-01-22T00:00:00"/>
        <d v="2026-10-15T00:00:00"/>
        <d v="2026-01-10T00:00:00"/>
        <d v="2026-12-10T00:00:00"/>
        <d v="2026-03-10T00:00:00"/>
        <d v="2026-09-25T00:00:00"/>
        <d v="2026-08-28T00:00:00"/>
        <d v="2026-09-28T00:00:00"/>
        <d v="2026-10-28T00:00:00"/>
        <d v="2026-08-25T00:00:00"/>
        <d v="2026-10-25T00:00:00"/>
        <d v="2026-11-25T00:00:00"/>
        <d v="2026-12-25T00:00:00"/>
        <d v="2026-08-20T00:00:00"/>
        <d v="2026-10-20T00:00:00"/>
        <d v="2026-12-20T00:00:00"/>
        <d v="2026-09-20T00:00:00"/>
        <d v="2026-01-20T00:00:00"/>
        <d v="2027-03-20T00:00:00"/>
        <d v="2026-09-04T00:00:00"/>
        <d v="2026-10-05T00:00:00"/>
        <d v="2026-11-05T00:00:00"/>
        <d v="2026-12-05T00:00:00"/>
        <d v="2027-01-05T00:00:00"/>
        <d v="2027-02-05T00:00:00"/>
        <d v="2026-09-05T00:00:00"/>
        <d v="2026-08-24T00:00:00"/>
        <d v="2026-09-24T00:00:00"/>
        <d v="2026-10-24T00:00:00"/>
        <d v="2026-11-24T00:00:00"/>
        <d v="2026-12-24T00:00:00"/>
        <d v="2026-08-17T00:00:00"/>
        <d v="2026-11-20T00:00:00"/>
        <d v="2027-01-20T00:00:00"/>
      </sharedItems>
      <fieldGroup par="17" base="6">
        <rangePr groupBy="months" startDate="2026-01-10T00:00:00" endDate="2027-03-21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3/2027"/>
        </groupItems>
      </fieldGroup>
    </cacheField>
    <cacheField name="DATA MEDIÇÃO" numFmtId="0">
      <sharedItems containsNonDate="0" containsDate="1" containsString="0" containsBlank="1" minDate="2023-08-02T00:00:00" maxDate="2026-08-06T00:00:00" count="51">
        <d v="2025-05-20T00:00:00"/>
        <d v="2025-08-01T00:00:00"/>
        <d v="2026-02-03T00:00:00"/>
        <d v="2026-03-30T00:00:00"/>
        <d v="2026-06-22T00:00:00"/>
        <d v="2026-08-03T00:00:00"/>
        <m/>
        <d v="2026-03-12T00:00:00"/>
        <d v="2026-04-01T00:00:00"/>
        <d v="2026-07-01T00:00:00"/>
        <d v="2025-05-30T00:00:00"/>
        <d v="2025-09-15T00:00:00"/>
        <d v="2025-11-18T00:00:00"/>
        <d v="2026-06-24T00:00:00"/>
        <d v="2026-06-25T00:00:00"/>
        <d v="2026-07-28T00:00:00"/>
        <d v="2026-06-11T00:00:00"/>
        <d v="2026-06-02T00:00:00"/>
        <d v="2026-07-03T00:00:00"/>
        <d v="2026-07-10T00:00:00"/>
        <d v="2026-05-28T00:00:00"/>
        <d v="2026-06-26T00:00:00"/>
        <d v="2023-08-02T00:00:00"/>
        <d v="2025-05-27T00:00:00"/>
        <d v="2026-02-19T00:00:00"/>
        <d v="2026-02-13T00:00:00"/>
        <d v="2026-01-16T00:00:00"/>
        <d v="2025-12-15T00:00:00"/>
        <d v="2026-05-05T00:00:00"/>
        <d v="2026-05-12T00:00:00"/>
        <d v="2026-06-12T00:00:00"/>
        <d v="2026-04-16T00:00:00"/>
        <d v="2026-07-31T00:00:00"/>
        <d v="2026-08-05T00:00:00"/>
        <d v="2026-03-20T00:00:00"/>
        <d v="2026-04-28T00:00:00"/>
        <d v="2026-05-15T00:00:00"/>
        <d v="2026-07-24T00:00:00"/>
        <d v="2026-03-27T00:00:00"/>
        <d v="2026-02-18T00:00:00"/>
        <d v="2026-04-07T00:00:00"/>
        <d v="2026-04-17T00:00:00"/>
        <d v="2026-05-08T00:00:00"/>
        <d v="2026-05-18T00:00:00"/>
        <d v="2026-05-22T00:00:00"/>
        <d v="2026-06-05T00:00:00"/>
        <d v="2026-06-15T00:00:00"/>
        <d v="2026-06-17T00:00:00"/>
        <d v="2026-06-19T00:00:00"/>
        <d v="2026-06-23T00:00:00"/>
        <d v="2026-07-09T00:00:00"/>
      </sharedItems>
      <fieldGroup par="15" base="7">
        <rangePr groupBy="months" startDate="2023-08-02T00:00:00" endDate="2026-08-06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26"/>
        </groupItems>
      </fieldGroup>
    </cacheField>
    <cacheField name="DATA REFERÊNCIA" numFmtId="14">
      <sharedItems containsSemiMixedTypes="0" containsNonDate="0" containsDate="1" containsString="0" minDate="1899-12-31T00:00:00" maxDate="2027-03-21T00:00:00" count="94">
        <d v="2025-05-20T00:00:00"/>
        <d v="2025-08-01T00:00:00"/>
        <d v="2026-02-03T00:00:00"/>
        <d v="2026-03-30T00:00:00"/>
        <d v="2026-06-22T00:00:00"/>
        <d v="2026-08-03T00:00:00"/>
        <d v="2026-09-03T00:00:00"/>
        <d v="2026-03-12T00:00:00"/>
        <d v="2026-04-01T00:00:00"/>
        <d v="2026-07-01T00:00:00"/>
        <d v="2026-08-10T00:00:00"/>
        <d v="2026-09-10T00:00:00"/>
        <d v="2026-10-10T00:00:00"/>
        <d v="2026-11-10T00:00:00"/>
        <d v="2026-09-22T00:00:00"/>
        <d v="2026-10-22T00:00:00"/>
        <d v="2026-11-22T00:00:00"/>
        <d v="2026-12-22T00:00:00"/>
        <d v="2026-01-22T00:00:00"/>
        <d v="2025-05-30T00:00:00"/>
        <d v="2025-09-15T00:00:00"/>
        <d v="2026-10-15T00:00:00"/>
        <d v="1899-12-31T00:00:00"/>
        <d v="2025-11-18T00:00:00"/>
        <d v="2026-06-24T00:00:00"/>
        <d v="2026-01-10T00:00:00"/>
        <d v="2026-12-10T00:00:00"/>
        <d v="2026-03-10T00:00:00"/>
        <d v="2026-06-25T00:00:00"/>
        <d v="2026-09-25T00:00:00"/>
        <d v="2026-07-28T00:00:00"/>
        <d v="2026-08-28T00:00:00"/>
        <d v="2026-09-28T00:00:00"/>
        <d v="2026-10-28T00:00:00"/>
        <d v="2026-08-25T00:00:00"/>
        <d v="2026-10-25T00:00:00"/>
        <d v="2026-11-25T00:00:00"/>
        <d v="2026-12-25T00:00:00"/>
        <d v="2026-06-11T00:00:00"/>
        <d v="2026-08-20T00:00:00"/>
        <d v="2026-10-20T00:00:00"/>
        <d v="2026-12-20T00:00:00"/>
        <d v="2026-06-02T00:00:00"/>
        <d v="2026-07-03T00:00:00"/>
        <d v="2026-07-10T00:00:00"/>
        <d v="2026-05-28T00:00:00"/>
        <d v="2026-06-26T00:00:00"/>
        <d v="2023-08-02T00:00:00"/>
        <d v="2025-05-27T00:00:00"/>
        <d v="2026-02-19T00:00:00"/>
        <d v="2026-09-20T00:00:00"/>
        <d v="2026-02-13T00:00:00"/>
        <d v="2026-01-16T00:00:00"/>
        <d v="2026-01-20T00:00:00"/>
        <d v="2027-03-20T00:00:00"/>
        <d v="2025-12-15T00:00:00"/>
        <d v="2026-05-05T00:00:00"/>
        <d v="2026-05-12T00:00:00"/>
        <d v="2026-06-12T00:00:00"/>
        <d v="2026-04-16T00:00:00"/>
        <d v="2026-09-04T00:00:00"/>
        <d v="2026-10-05T00:00:00"/>
        <d v="2026-11-05T00:00:00"/>
        <d v="2026-12-05T00:00:00"/>
        <d v="2027-01-05T00:00:00"/>
        <d v="2027-02-05T00:00:00"/>
        <d v="2026-07-31T00:00:00"/>
        <d v="2026-08-05T00:00:00"/>
        <d v="2026-09-05T00:00:00"/>
        <d v="2026-03-20T00:00:00"/>
        <d v="2026-04-28T00:00:00"/>
        <d v="2026-05-15T00:00:00"/>
        <d v="2026-07-24T00:00:00"/>
        <d v="2026-08-24T00:00:00"/>
        <d v="2026-09-24T00:00:00"/>
        <d v="2026-10-24T00:00:00"/>
        <d v="2026-11-24T00:00:00"/>
        <d v="2026-12-24T00:00:00"/>
        <d v="2026-03-27T00:00:00"/>
        <d v="2026-08-17T00:00:00"/>
        <d v="2026-11-20T00:00:00"/>
        <d v="2027-01-20T00:00:00"/>
        <d v="2026-02-18T00:00:00"/>
        <d v="2026-04-07T00:00:00"/>
        <d v="2026-04-17T00:00:00"/>
        <d v="2026-05-08T00:00:00"/>
        <d v="2026-05-18T00:00:00"/>
        <d v="2026-05-22T00:00:00"/>
        <d v="2026-06-05T00:00:00"/>
        <d v="2026-06-15T00:00:00"/>
        <d v="2026-06-17T00:00:00"/>
        <d v="2026-06-19T00:00:00"/>
        <d v="2026-06-23T00:00:00"/>
        <d v="2026-07-09T00:00:00"/>
      </sharedItems>
      <fieldGroup par="19" base="8">
        <rangePr groupBy="months" startDate="1899-12-31T00:00:00" endDate="2027-03-21T00:00:00"/>
        <groupItems count="14">
          <s v="&lt;01/01/190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3/2027"/>
        </groupItems>
      </fieldGroup>
    </cacheField>
    <cacheField name="MÊS" numFmtId="14">
      <sharedItems count="66">
        <s v="25/05"/>
        <s v="25/08"/>
        <s v="26/02"/>
        <s v="26/03"/>
        <s v="26/06"/>
        <s v="26/08"/>
        <s v="26/09"/>
        <s v="26/04"/>
        <s v="26/07"/>
        <s v="26/10"/>
        <s v="26/11"/>
        <s v="26/12"/>
        <s v="26/01"/>
        <s v="25/09"/>
        <s v="00/01"/>
        <s v="25/11"/>
        <s v="26/05"/>
        <s v="23/08"/>
        <s v="27/03"/>
        <s v="25/12"/>
        <s v="27/01"/>
        <s v="27/02"/>
        <s v="27/mar" u="1"/>
        <s v="out/26" u="1"/>
        <s v="23/ago" u="1"/>
        <s v="25/ago" u="1"/>
        <s v="26/dez" u="1"/>
        <s v="26/mai" u="1"/>
        <s v="27/jan" u="1"/>
        <s v="abr/26" u="1"/>
        <s v="dez/25" u="1"/>
        <s v="dez/26" u="1"/>
        <s v="27/fev" u="1"/>
        <s v="26/out" u="1"/>
        <s v="jan/26" u="1"/>
        <s v="set/25" u="1"/>
        <s v="26/set" u="1"/>
        <s v="jan/27" u="1"/>
        <s v="26/nov" u="1"/>
        <s v="jan/00" u="1"/>
        <s v="set/26" u="1"/>
        <s v="mai/25" u="1"/>
        <s v="26/jul" u="1"/>
        <s v="mai/26" u="1"/>
        <s v="26/mar" u="1"/>
        <s v="nov/25" u="1"/>
        <s v="26/abr" u="1"/>
        <s v="26/jun" u="1"/>
        <s v="nov/26" u="1"/>
        <s v="ago/23" u="1"/>
        <s v="25/dez" u="1"/>
        <s v="25/mai" u="1"/>
        <s v="26/ago" u="1"/>
        <s v="26/jan" u="1"/>
        <s v="00/jan" u="1"/>
        <s v="ago/25" u="1"/>
        <s v="ago/26" u="1"/>
        <s v="jul/26" u="1"/>
        <s v="mar/26" u="1"/>
        <s v="26/fev" u="1"/>
        <s v="jun/26" u="1"/>
        <s v="mar/27" u="1"/>
        <s v="25/set" u="1"/>
        <s v="25/nov" u="1"/>
        <s v="fev/26" u="1"/>
        <s v="fev/27" u="1"/>
      </sharedItems>
    </cacheField>
    <cacheField name="VALOR MEDIÇÃO" numFmtId="44">
      <sharedItems containsSemiMixedTypes="0" containsString="0" containsNumber="1" minValue="12.99" maxValue="94500"/>
    </cacheField>
    <cacheField name="STATUS" numFmtId="0">
      <sharedItems/>
    </cacheField>
    <cacheField name="NF" numFmtId="0">
      <sharedItems containsString="0" containsBlank="1" containsNumber="1" containsInteger="1" minValue="375" maxValue="653"/>
    </cacheField>
    <cacheField name="DATA PAGAMENTO" numFmtId="0">
      <sharedItems containsNonDate="0" containsString="0" containsBlank="1"/>
    </cacheField>
    <cacheField name="Trimestres" numFmtId="0" databaseField="0">
      <fieldGroup base="7">
        <rangePr groupBy="quarters" startDate="2023-08-02T00:00:00" endDate="2026-08-06T00:00:00"/>
        <groupItems count="6">
          <s v="&lt;02/08/2023"/>
          <s v="Trim1"/>
          <s v="Trim2"/>
          <s v="Trim3"/>
          <s v="Trim4"/>
          <s v="&gt;06/08/2026"/>
        </groupItems>
      </fieldGroup>
    </cacheField>
    <cacheField name="Anos" numFmtId="0" databaseField="0">
      <fieldGroup base="7">
        <rangePr groupBy="years" startDate="2023-08-02T00:00:00" endDate="2026-08-06T00:00:00"/>
        <groupItems count="6">
          <s v="&lt;02/08/2023"/>
          <s v="2023"/>
          <s v="2024"/>
          <s v="2025"/>
          <s v="2026"/>
          <s v="&gt;06/08/2026"/>
        </groupItems>
      </fieldGroup>
    </cacheField>
    <cacheField name="Trimestres2" numFmtId="0" databaseField="0">
      <fieldGroup base="6">
        <rangePr groupBy="quarters" startDate="2026-01-10T00:00:00" endDate="2027-03-21T00:00:00"/>
        <groupItems count="6">
          <s v="&lt;10/01/2026"/>
          <s v="Trim1"/>
          <s v="Trim2"/>
          <s v="Trim3"/>
          <s v="Trim4"/>
          <s v="&gt;21/03/2027"/>
        </groupItems>
      </fieldGroup>
    </cacheField>
    <cacheField name="Anos2" numFmtId="0" databaseField="0">
      <fieldGroup base="6">
        <rangePr groupBy="years" startDate="2026-01-10T00:00:00" endDate="2027-03-21T00:00:00"/>
        <groupItems count="4">
          <s v="&lt;10/01/2026"/>
          <s v="2026"/>
          <s v="2027"/>
          <s v="&gt;21/03/2027"/>
        </groupItems>
      </fieldGroup>
    </cacheField>
    <cacheField name="Trimestres3" numFmtId="0" databaseField="0">
      <fieldGroup base="8">
        <rangePr groupBy="quarters" startDate="1899-12-31T00:00:00" endDate="2027-03-21T00:00:00"/>
        <groupItems count="6">
          <s v="&lt;01/01/1900"/>
          <s v="Trim1"/>
          <s v="Trim2"/>
          <s v="Trim3"/>
          <s v="Trim4"/>
          <s v="&gt;21/03/2027"/>
        </groupItems>
      </fieldGroup>
    </cacheField>
    <cacheField name="Anos3" numFmtId="0" databaseField="0">
      <fieldGroup base="8">
        <rangePr groupBy="years" startDate="1899-12-31T00:00:00" endDate="2027-03-21T00:00:00"/>
        <groupItems count="130">
          <s v="&lt;01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&gt;21/03/2027"/>
        </groupItems>
      </fieldGroup>
    </cacheField>
  </cacheFields>
  <extLst>
    <ext xmlns:x14="http://schemas.microsoft.com/office/spreadsheetml/2009/9/main" uri="{725AE2AE-9491-48be-B2B4-4EB974FC3084}">
      <x14:pivotCacheDefinition pivotCacheId="3714511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hur Pena" refreshedDate="46239.50470474537" backgroundQuery="1" createdVersion="7" refreshedVersion="7" minRefreshableVersion="3" recordCount="0" supportSubquery="1" supportAdvancedDrill="1" xr:uid="{3D21D0D7-8D93-47FE-B3B8-1BA0404C30F8}">
  <cacheSource type="external" connectionId="1"/>
  <cacheFields count="6">
    <cacheField name="[Measures].[Soma de ORÇAMENTO BASE]" caption="Soma de ORÇAMENTO BASE" numFmtId="0" hierarchy="46" level="32767"/>
    <cacheField name="[Measures].[Soma de VALOR CONTRATADO]" caption="Soma de VALOR CONTRATADO" numFmtId="0" hierarchy="47" level="32767"/>
    <cacheField name="[Measures].[Soma de SALDO A CONTRATAR]" caption="Soma de SALDO A CONTRATAR" numFmtId="0" hierarchy="48" level="32767"/>
    <cacheField name="[Measures].[Soma de VALOR MEDIDO]" caption="Soma de VALOR MEDIDO" numFmtId="0" hierarchy="49" level="32767"/>
    <cacheField name="[Measures].[Soma de SALDO MEDIÇÃO]" caption="Soma de SALDO MEDIÇÃO" numFmtId="0" hierarchy="50" level="32767"/>
    <cacheField name="[tbObras].[CÓDIGO].[CÓDIGO]" caption="CÓDIGO" numFmtId="0" hierarchy="28" level="1">
      <sharedItems containsSemiMixedTypes="0" containsNonDate="0" containsString="0"/>
    </cacheField>
  </cacheFields>
  <cacheHierarchies count="52">
    <cacheHierarchy uniqueName="[tbContratos].[CONTRATO_ID]" caption="CONTRATO_ID" attribute="1" defaultMemberUniqueName="[tbContratos].[CONTRATO_ID].[All]" allUniqueName="[tbContratos].[CONTRATO_ID].[All]" dimensionUniqueName="[tbContratos]" displayFolder="" count="2" memberValueDatatype="130" unbalanced="0"/>
    <cacheHierarchy uniqueName="[tbContratos].[NUM SIENGE]" caption="NUM SIENGE" attribute="1" defaultMemberUniqueName="[tbContratos].[NUM SIENGE].[All]" allUniqueName="[tbContratos].[NUM SIENGE].[All]" dimensionUniqueName="[tbContratos]" displayFolder="" count="2" memberValueDatatype="20" unbalanced="0"/>
    <cacheHierarchy uniqueName="[tbContratos].[EMPRESA]" caption="EMPRESA" attribute="1" defaultMemberUniqueName="[tbContratos].[EMPRESA].[All]" allUniqueName="[tbContratos].[EMPRESA].[All]" dimensionUniqueName="[tbContratos]" displayFolder="" count="2" memberValueDatatype="130" unbalanced="0"/>
    <cacheHierarchy uniqueName="[tbContratos].[OBRA]" caption="OBRA" attribute="1" defaultMemberUniqueName="[tbContratos].[OBRA].[All]" allUniqueName="[tbContratos].[OBRA].[All]" dimensionUniqueName="[tbContratos]" displayFolder="" count="2" memberValueDatatype="130" unbalanced="0"/>
    <cacheHierarchy uniqueName="[tbContratos].[DISCIPLINA]" caption="DISCIPLINA" attribute="1" defaultMemberUniqueName="[tbContratos].[DISCIPLINA].[All]" allUniqueName="[tbContratos].[DISCIPLINA].[All]" dimensionUniqueName="[tbContratos]" displayFolder="" count="2" memberValueDatatype="130" unbalanced="0"/>
    <cacheHierarchy uniqueName="[tbContratos].[SUBDISCIPLINA]" caption="SUBDISCIPLINA" attribute="1" defaultMemberUniqueName="[tbContratos].[SUBDISCIPLINA].[All]" allUniqueName="[tbContratos].[SUBDISCIPLINA].[All]" dimensionUniqueName="[tbContratos]" displayFolder="" count="2" memberValueDatatype="130" unbalanced="0"/>
    <cacheHierarchy uniqueName="[tbContratos].[VALOR NEGOCIADO]" caption="VALOR NEGOCIADO" attribute="1" defaultMemberUniqueName="[tbContratos].[VALOR NEGOCIADO].[All]" allUniqueName="[tbContratos].[VALOR NEGOCIADO].[All]" dimensionUniqueName="[tbContratos]" displayFolder="" count="2" memberValueDatatype="5" unbalanced="0"/>
    <cacheHierarchy uniqueName="[tbContratos].[VALOR ADITIVO]" caption="VALOR ADITIVO" attribute="1" defaultMemberUniqueName="[tbContratos].[VALOR ADITIVO].[All]" allUniqueName="[tbContratos].[VALOR ADITIVO].[All]" dimensionUniqueName="[tbContratos]" displayFolder="" count="2" memberValueDatatype="130" unbalanced="0"/>
    <cacheHierarchy uniqueName="[tbContratos].[VALOR CONTRATO]" caption="VALOR CONTRATO" attribute="1" defaultMemberUniqueName="[tbContratos].[VALOR CONTRATO].[All]" allUniqueName="[tbContratos].[VALOR CONTRATO].[All]" dimensionUniqueName="[tbContratos]" displayFolder="" count="2" memberValueDatatype="5" unbalanced="0"/>
    <cacheHierarchy uniqueName="[tbContratos].[VALOR MEDIDO]" caption="VALOR MEDIDO" attribute="1" defaultMemberUniqueName="[tbContratos].[VALOR MEDIDO].[All]" allUniqueName="[tbContratos].[VALOR MEDIDO].[All]" dimensionUniqueName="[tbContratos]" displayFolder="" count="2" memberValueDatatype="5" unbalanced="0"/>
    <cacheHierarchy uniqueName="[tbContratos].[SALDO A MEDIR]" caption="SALDO A MEDIR" attribute="1" defaultMemberUniqueName="[tbContratos].[SALDO A MEDIR].[All]" allUniqueName="[tbContratos].[SALDO A MEDIR].[All]" dimensionUniqueName="[tbContratos]" displayFolder="" count="2" memberValueDatatype="5" unbalanced="0"/>
    <cacheHierarchy uniqueName="[tbContratos].[PERCENTUAL MEDIDO]" caption="PERCENTUAL MEDIDO" attribute="1" defaultMemberUniqueName="[tbContratos].[PERCENTUAL MEDIDO].[All]" allUniqueName="[tbContratos].[PERCENTUAL MEDIDO].[All]" dimensionUniqueName="[tbContratos]" displayFolder="" count="2" memberValueDatatype="5" unbalanced="0"/>
    <cacheHierarchy uniqueName="[tbMedições].[Estudo preliminar]" caption="Estudo preliminar" attribute="1" defaultMemberUniqueName="[tbMedições].[Estudo preliminar].[All]" allUniqueName="[tbMedições].[Estudo preliminar].[All]" dimensionUniqueName="[tbMedições]" displayFolder="" count="2" memberValueDatatype="130" unbalanced="0"/>
    <cacheHierarchy uniqueName="[tbMedições].[CONTRATO_ID]" caption="CONTRATO_ID" attribute="1" defaultMemberUniqueName="[tbMedições].[CONTRATO_ID].[All]" allUniqueName="[tbMedições].[CONTRATO_ID].[All]" dimensionUniqueName="[tbMedições]" displayFolder="" count="2" memberValueDatatype="130" unbalanced="0"/>
    <cacheHierarchy uniqueName="[tbMedições].[EMPRESA]" caption="EMPRESA" attribute="1" defaultMemberUniqueName="[tbMedições].[EMPRESA].[All]" allUniqueName="[tbMedições].[EMPRESA].[All]" dimensionUniqueName="[tbMedições]" displayFolder="" count="2" memberValueDatatype="130" unbalanced="0"/>
    <cacheHierarchy uniqueName="[tbMedições].[OBRA]" caption="OBRA" attribute="1" defaultMemberUniqueName="[tbMedições].[OBRA].[All]" allUniqueName="[tbMedições].[OBRA].[All]" dimensionUniqueName="[tbMedições]" displayFolder="" count="2" memberValueDatatype="130" unbalanced="0"/>
    <cacheHierarchy uniqueName="[tbMedições].[ETAPA]" caption="ETAPA" attribute="1" defaultMemberUniqueName="[tbMedições].[ETAPA].[All]" allUniqueName="[tbMedições].[ETAPA].[All]" dimensionUniqueName="[tbMedições]" displayFolder="" count="2" memberValueDatatype="130" unbalanced="0"/>
    <cacheHierarchy uniqueName="[tbMedições].[PERCENTUAL]" caption="PERCENTUAL" attribute="1" defaultMemberUniqueName="[tbMedições].[PERCENTUAL].[All]" allUniqueName="[tbMedições].[PERCENTUAL].[All]" dimensionUniqueName="[tbMedições]" displayFolder="" count="2" memberValueDatatype="5" unbalanced="0"/>
    <cacheHierarchy uniqueName="[tbMedições].[DATA PREVISTA]" caption="DATA PREVISTA" attribute="1" time="1" defaultMemberUniqueName="[tbMedições].[DATA PREVISTA].[All]" allUniqueName="[tbMedições].[DATA PREVISTA].[All]" dimensionUniqueName="[tbMedições]" displayFolder="" count="2" memberValueDatatype="7" unbalanced="0"/>
    <cacheHierarchy uniqueName="[tbMedições].[DATA MEDIÇÃO]" caption="DATA MEDIÇÃO" attribute="1" time="1" defaultMemberUniqueName="[tbMedições].[DATA MEDIÇÃO].[All]" allUniqueName="[tbMedições].[DATA MEDIÇÃO].[All]" dimensionUniqueName="[tbMedições]" displayFolder="" count="2" memberValueDatatype="7" unbalanced="0"/>
    <cacheHierarchy uniqueName="[tbMedições].[DATA REFERÊNCIA]" caption="DATA REFERÊNCIA" attribute="1" time="1" defaultMemberUniqueName="[tbMedições].[DATA REFERÊNCIA].[All]" allUniqueName="[tbMedições].[DATA REFERÊNCIA].[All]" dimensionUniqueName="[tbMedições]" displayFolder="" count="2" memberValueDatatype="7" unbalanced="0"/>
    <cacheHierarchy uniqueName="[tbMedições].[MÊS]" caption="MÊS" attribute="1" defaultMemberUniqueName="[tbMedições].[MÊS].[All]" allUniqueName="[tbMedições].[MÊS].[All]" dimensionUniqueName="[tbMedições]" displayFolder="" count="2" memberValueDatatype="130" unbalanced="0"/>
    <cacheHierarchy uniqueName="[tbMedições].[VALOR MEDIÇÃO]" caption="VALOR MEDIÇÃO" attribute="1" defaultMemberUniqueName="[tbMedições].[VALOR MEDIÇÃO].[All]" allUniqueName="[tbMedições].[VALOR MEDIÇÃO].[All]" dimensionUniqueName="[tbMedições]" displayFolder="" count="2" memberValueDatatype="5" unbalanced="0"/>
    <cacheHierarchy uniqueName="[tbMedições].[STATUS]" caption="STATUS" attribute="1" defaultMemberUniqueName="[tbMedições].[STATUS].[All]" allUniqueName="[tbMedições].[STATUS].[All]" dimensionUniqueName="[tbMedições]" displayFolder="" count="2" memberValueDatatype="130" unbalanced="0"/>
    <cacheHierarchy uniqueName="[tbMedições].[NF]" caption="NF" attribute="1" defaultMemberUniqueName="[tbMedições].[NF].[All]" allUniqueName="[tbMedições].[NF].[All]" dimensionUniqueName="[tbMedições]" displayFolder="" count="2" memberValueDatatype="20" unbalanced="0"/>
    <cacheHierarchy uniqueName="[tbMedições].[DATA PAGAMENTO]" caption="DATA PAGAMENTO" attribute="1" defaultMemberUniqueName="[tbMedições].[DATA PAGAMENTO].[All]" allUniqueName="[tbMedições].[DATA PAGAMENTO].[All]" dimensionUniqueName="[tbMedições]" displayFolder="" count="2" memberValueDatatype="130" unbalanced="0"/>
    <cacheHierarchy uniqueName="[tbObras].[OBRA_ID]" caption="OBRA_ID" attribute="1" defaultMemberUniqueName="[tbObras].[OBRA_ID].[All]" allUniqueName="[tbObras].[OBRA_ID].[All]" dimensionUniqueName="[tbObras]" displayFolder="" count="2" memberValueDatatype="130" unbalanced="0"/>
    <cacheHierarchy uniqueName="[tbObras].[CC]" caption="CC" attribute="1" defaultMemberUniqueName="[tbObras].[CC].[All]" allUniqueName="[tbObras].[CC].[All]" dimensionUniqueName="[tbObras]" displayFolder="" count="2" memberValueDatatype="20" unbalanced="0"/>
    <cacheHierarchy uniqueName="[tbObras].[CÓDIGO]" caption="CÓDIGO" attribute="1" defaultMemberUniqueName="[tbObras].[CÓDIGO].[All]" allUniqueName="[tbObras].[CÓDIGO].[All]" dimensionUniqueName="[tbObras]" displayFolder="" count="2" memberValueDatatype="130" unbalanced="0">
      <fieldsUsage count="2">
        <fieldUsage x="-1"/>
        <fieldUsage x="5"/>
      </fieldsUsage>
    </cacheHierarchy>
    <cacheHierarchy uniqueName="[tbObras].[NOME]" caption="NOME" attribute="1" defaultMemberUniqueName="[tbObras].[NOME].[All]" allUniqueName="[tbObras].[NOME].[All]" dimensionUniqueName="[tbObras]" displayFolder="" count="2" memberValueDatatype="130" unbalanced="0"/>
    <cacheHierarchy uniqueName="[tbObras].[ENDEREÇO]" caption="ENDEREÇO" attribute="1" defaultMemberUniqueName="[tbObras].[ENDEREÇO].[All]" allUniqueName="[tbObras].[ENDEREÇO].[All]" dimensionUniqueName="[tbObras]" displayFolder="" count="2" memberValueDatatype="130" unbalanced="0"/>
    <cacheHierarchy uniqueName="[tbOrçamento].[OBRA]" caption="OBRA" attribute="1" defaultMemberUniqueName="[tbOrçamento].[OBRA].[All]" allUniqueName="[tbOrçamento].[OBRA].[All]" dimensionUniqueName="[tbOrçamento]" displayFolder="" count="2" memberValueDatatype="130" unbalanced="0"/>
    <cacheHierarchy uniqueName="[tbOrçamento].[NOME OBRA]" caption="NOME OBRA" attribute="1" defaultMemberUniqueName="[tbOrçamento].[NOME OBRA].[All]" allUniqueName="[tbOrçamento].[NOME OBRA].[All]" dimensionUniqueName="[tbOrçamento]" displayFolder="" count="2" memberValueDatatype="130" unbalanced="0"/>
    <cacheHierarchy uniqueName="[tbOrçamento].[DISCIPLINA]" caption="DISCIPLINA" attribute="1" defaultMemberUniqueName="[tbOrçamento].[DISCIPLINA].[All]" allUniqueName="[tbOrçamento].[DISCIPLINA].[All]" dimensionUniqueName="[tbOrçamento]" displayFolder="" count="2" memberValueDatatype="130" unbalanced="0"/>
    <cacheHierarchy uniqueName="[tbOrçamento].[SUBDISCIPLINA]" caption="SUBDISCIPLINA" attribute="1" defaultMemberUniqueName="[tbOrçamento].[SUBDISCIPLINA].[All]" allUniqueName="[tbOrçamento].[SUBDISCIPLINA].[All]" dimensionUniqueName="[tbOrçamento]" displayFolder="" count="2" memberValueDatatype="130" unbalanced="0"/>
    <cacheHierarchy uniqueName="[tbOrçamento].[ORÇAMENTO BASE]" caption="ORÇAMENTO BASE" attribute="1" defaultMemberUniqueName="[tbOrçamento].[ORÇAMENTO BASE].[All]" allUniqueName="[tbOrçamento].[ORÇAMENTO BASE].[All]" dimensionUniqueName="[tbOrçamento]" displayFolder="" count="2" memberValueDatatype="5" unbalanced="0"/>
    <cacheHierarchy uniqueName="[tbOrçamento].[VALOR CONTRATADO]" caption="VALOR CONTRATADO" attribute="1" defaultMemberUniqueName="[tbOrçamento].[VALOR CONTRATADO].[All]" allUniqueName="[tbOrçamento].[VALOR CONTRATADO].[All]" dimensionUniqueName="[tbOrçamento]" displayFolder="" count="2" memberValueDatatype="5" unbalanced="0"/>
    <cacheHierarchy uniqueName="[tbOrçamento].[SALDO A CONTRATAR]" caption="SALDO A CONTRATAR" attribute="1" defaultMemberUniqueName="[tbOrçamento].[SALDO A CONTRATAR].[All]" allUniqueName="[tbOrçamento].[SALDO A CONTRATAR].[All]" dimensionUniqueName="[tbOrçamento]" displayFolder="" count="2" memberValueDatatype="5" unbalanced="0"/>
    <cacheHierarchy uniqueName="[tbOrçamento].[VALOR MEDIDO]" caption="VALOR MEDIDO" attribute="1" defaultMemberUniqueName="[tbOrçamento].[VALOR MEDIDO].[All]" allUniqueName="[tbOrçamento].[VALOR MEDIDO].[All]" dimensionUniqueName="[tbOrçamento]" displayFolder="" count="2" memberValueDatatype="5" unbalanced="0"/>
    <cacheHierarchy uniqueName="[tbOrçamento].[SALDO MEDIÇÃO]" caption="SALDO MEDIÇÃO" attribute="1" defaultMemberUniqueName="[tbOrçamento].[SALDO MEDIÇÃO].[All]" allUniqueName="[tbOrçamento].[SALDO MEDIÇÃO].[All]" dimensionUniqueName="[tbOrçamento]" displayFolder="" count="2" memberValueDatatype="5" unbalanced="0"/>
    <cacheHierarchy uniqueName="[tbOrçamento].[STATUS]" caption="STATUS" attribute="1" defaultMemberUniqueName="[tbOrçamento].[STATUS].[All]" allUniqueName="[tbOrçamento].[STATUS].[All]" dimensionUniqueName="[tbOrçamento]" displayFolder="" count="2" memberValueDatatype="130" unbalanced="0"/>
    <cacheHierarchy uniqueName="[Measures].[__XL_Count tbOrçamento]" caption="__XL_Count tbOrçamento" measure="1" displayFolder="" measureGroup="tbOrçamento" count="0" hidden="1"/>
    <cacheHierarchy uniqueName="[Measures].[__XL_Count tbObras]" caption="__XL_Count tbObras" measure="1" displayFolder="" measureGroup="tbObras" count="0" hidden="1"/>
    <cacheHierarchy uniqueName="[Measures].[__XL_Count tbMedições]" caption="__XL_Count tbMedições" measure="1" displayFolder="" measureGroup="tbMedições" count="0" hidden="1"/>
    <cacheHierarchy uniqueName="[Measures].[__XL_Count tbContratos]" caption="__XL_Count tbContratos" measure="1" displayFolder="" measureGroup="tbContratos" count="0" hidden="1"/>
    <cacheHierarchy uniqueName="[Measures].[__No measures defined]" caption="__No measures defined" measure="1" displayFolder="" count="0" hidden="1"/>
    <cacheHierarchy uniqueName="[Measures].[Soma de ORÇAMENTO BASE]" caption="Soma de ORÇAMENTO BASE" measure="1" displayFolder="" measureGroup="tbOrçament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VALOR CONTRATADO]" caption="Soma de VALOR CONTRATADO" measure="1" displayFolder="" measureGroup="tbOrçamen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SALDO A CONTRATAR]" caption="Soma de SALDO A CONTRATAR" measure="1" displayFolder="" measureGroup="tbOrçament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VALOR MEDIDO]" caption="Soma de VALOR MEDIDO" measure="1" displayFolder="" measureGroup="tbOrçament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SALDO MEDIÇÃO]" caption="Soma de SALDO MEDIÇÃO" measure="1" displayFolder="" measureGroup="tbOrçament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ALOR MEDIÇÃO]" caption="Soma de VALOR MEDIÇÃO" measure="1" displayFolder="" measureGroup="tbMediçõ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tbContratos" uniqueName="[tbContratos]" caption="tbContratos"/>
    <dimension name="tbMedições" uniqueName="[tbMedições]" caption="tbMedições"/>
    <dimension name="tbObras" uniqueName="[tbObras]" caption="tbObras"/>
    <dimension name="tbOrçamento" uniqueName="[tbOrçamento]" caption="tbOrçamento"/>
  </dimensions>
  <measureGroups count="4">
    <measureGroup name="tbContratos" caption="tbContratos"/>
    <measureGroup name="tbMedições" caption="tbMedições"/>
    <measureGroup name="tbObras" caption="tbObras"/>
    <measureGroup name="tbOrçamento" caption="tbOrçamento"/>
  </measureGroups>
  <maps count="7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hur Pena" refreshedDate="46239.504705324071" backgroundQuery="1" createdVersion="7" refreshedVersion="7" minRefreshableVersion="3" recordCount="0" supportSubquery="1" supportAdvancedDrill="1" xr:uid="{C296C708-9695-4EE4-97A4-E94BAAB3C4F1}">
  <cacheSource type="external" connectionId="1"/>
  <cacheFields count="4">
    <cacheField name="[tbMedições].[MÊS].[MÊS]" caption="MÊS" numFmtId="0" hierarchy="21" level="1">
      <sharedItems count="13">
        <s v="26/01"/>
        <s v="26/02"/>
        <s v="26/03"/>
        <s v="26/04"/>
        <s v="26/05"/>
        <s v="26/06"/>
        <s v="26/07"/>
        <s v="26/08"/>
        <s v="26/09"/>
        <s v="26/10"/>
        <s v="26/11"/>
        <s v="26/12"/>
        <s v="27/01"/>
      </sharedItems>
    </cacheField>
    <cacheField name="[Measures].[Soma de VALOR MEDIÇÃO]" caption="Soma de VALOR MEDIÇÃO" numFmtId="0" hierarchy="51" level="32767"/>
    <cacheField name="[tbObras].[CÓDIGO].[CÓDIGO]" caption="CÓDIGO" numFmtId="0" hierarchy="28" level="1">
      <sharedItems containsSemiMixedTypes="0" containsNonDate="0" containsString="0"/>
    </cacheField>
    <cacheField name="Dummy0" numFmtId="0" hierarchy="5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3">
    <cacheHierarchy uniqueName="[tbContratos].[CONTRATO_ID]" caption="CONTRATO_ID" attribute="1" defaultMemberUniqueName="[tbContratos].[CONTRATO_ID].[All]" allUniqueName="[tbContratos].[CONTRATO_ID].[All]" dimensionUniqueName="[tbContratos]" displayFolder="" count="0" memberValueDatatype="130" unbalanced="0"/>
    <cacheHierarchy uniqueName="[tbContratos].[NUM SIENGE]" caption="NUM SIENGE" attribute="1" defaultMemberUniqueName="[tbContratos].[NUM SIENGE].[All]" allUniqueName="[tbContratos].[NUM SIENGE].[All]" dimensionUniqueName="[tbContratos]" displayFolder="" count="0" memberValueDatatype="20" unbalanced="0"/>
    <cacheHierarchy uniqueName="[tbContratos].[EMPRESA]" caption="EMPRESA" attribute="1" defaultMemberUniqueName="[tbContratos].[EMPRESA].[All]" allUniqueName="[tbContratos].[EMPRESA].[All]" dimensionUniqueName="[tbContratos]" displayFolder="" count="0" memberValueDatatype="130" unbalanced="0"/>
    <cacheHierarchy uniqueName="[tbContratos].[OBRA]" caption="OBRA" attribute="1" defaultMemberUniqueName="[tbContratos].[OBRA].[All]" allUniqueName="[tbContratos].[OBRA].[All]" dimensionUniqueName="[tbContratos]" displayFolder="" count="0" memberValueDatatype="130" unbalanced="0"/>
    <cacheHierarchy uniqueName="[tbContratos].[DISCIPLINA]" caption="DISCIPLINA" attribute="1" defaultMemberUniqueName="[tbContratos].[DISCIPLINA].[All]" allUniqueName="[tbContratos].[DISCIPLINA].[All]" dimensionUniqueName="[tbContratos]" displayFolder="" count="0" memberValueDatatype="130" unbalanced="0"/>
    <cacheHierarchy uniqueName="[tbContratos].[SUBDISCIPLINA]" caption="SUBDISCIPLINA" attribute="1" defaultMemberUniqueName="[tbContratos].[SUBDISCIPLINA].[All]" allUniqueName="[tbContratos].[SUBDISCIPLINA].[All]" dimensionUniqueName="[tbContratos]" displayFolder="" count="0" memberValueDatatype="130" unbalanced="0"/>
    <cacheHierarchy uniqueName="[tbContratos].[VALOR NEGOCIADO]" caption="VALOR NEGOCIADO" attribute="1" defaultMemberUniqueName="[tbContratos].[VALOR NEGOCIADO].[All]" allUniqueName="[tbContratos].[VALOR NEGOCIADO].[All]" dimensionUniqueName="[tbContratos]" displayFolder="" count="0" memberValueDatatype="5" unbalanced="0"/>
    <cacheHierarchy uniqueName="[tbContratos].[VALOR ADITIVO]" caption="VALOR ADITIVO" attribute="1" defaultMemberUniqueName="[tbContratos].[VALOR ADITIVO].[All]" allUniqueName="[tbContratos].[VALOR ADITIVO].[All]" dimensionUniqueName="[tbContratos]" displayFolder="" count="0" memberValueDatatype="130" unbalanced="0"/>
    <cacheHierarchy uniqueName="[tbContratos].[VALOR CONTRATO]" caption="VALOR CONTRATO" attribute="1" defaultMemberUniqueName="[tbContratos].[VALOR CONTRATO].[All]" allUniqueName="[tbContratos].[VALOR CONTRATO].[All]" dimensionUniqueName="[tbContratos]" displayFolder="" count="0" memberValueDatatype="5" unbalanced="0"/>
    <cacheHierarchy uniqueName="[tbContratos].[VALOR MEDIDO]" caption="VALOR MEDIDO" attribute="1" defaultMemberUniqueName="[tbContratos].[VALOR MEDIDO].[All]" allUniqueName="[tbContratos].[VALOR MEDIDO].[All]" dimensionUniqueName="[tbContratos]" displayFolder="" count="0" memberValueDatatype="5" unbalanced="0"/>
    <cacheHierarchy uniqueName="[tbContratos].[SALDO A MEDIR]" caption="SALDO A MEDIR" attribute="1" defaultMemberUniqueName="[tbContratos].[SALDO A MEDIR].[All]" allUniqueName="[tbContratos].[SALDO A MEDIR].[All]" dimensionUniqueName="[tbContratos]" displayFolder="" count="0" memberValueDatatype="5" unbalanced="0"/>
    <cacheHierarchy uniqueName="[tbContratos].[PERCENTUAL MEDIDO]" caption="PERCENTUAL MEDIDO" attribute="1" defaultMemberUniqueName="[tbContratos].[PERCENTUAL MEDIDO].[All]" allUniqueName="[tbContratos].[PERCENTUAL MEDIDO].[All]" dimensionUniqueName="[tbContratos]" displayFolder="" count="0" memberValueDatatype="5" unbalanced="0"/>
    <cacheHierarchy uniqueName="[tbMedições].[Estudo preliminar]" caption="Estudo preliminar" attribute="1" defaultMemberUniqueName="[tbMedições].[Estudo preliminar].[All]" allUniqueName="[tbMedições].[Estudo preliminar].[All]" dimensionUniqueName="[tbMedições]" displayFolder="" count="0" memberValueDatatype="130" unbalanced="0"/>
    <cacheHierarchy uniqueName="[tbMedições].[CONTRATO_ID]" caption="CONTRATO_ID" attribute="1" defaultMemberUniqueName="[tbMedições].[CONTRATO_ID].[All]" allUniqueName="[tbMedições].[CONTRATO_ID].[All]" dimensionUniqueName="[tbMedições]" displayFolder="" count="0" memberValueDatatype="130" unbalanced="0"/>
    <cacheHierarchy uniqueName="[tbMedições].[EMPRESA]" caption="EMPRESA" attribute="1" defaultMemberUniqueName="[tbMedições].[EMPRESA].[All]" allUniqueName="[tbMedições].[EMPRESA].[All]" dimensionUniqueName="[tbMedições]" displayFolder="" count="0" memberValueDatatype="130" unbalanced="0"/>
    <cacheHierarchy uniqueName="[tbMedições].[OBRA]" caption="OBRA" attribute="1" defaultMemberUniqueName="[tbMedições].[OBRA].[All]" allUniqueName="[tbMedições].[OBRA].[All]" dimensionUniqueName="[tbMedições]" displayFolder="" count="0" memberValueDatatype="130" unbalanced="0"/>
    <cacheHierarchy uniqueName="[tbMedições].[ETAPA]" caption="ETAPA" attribute="1" defaultMemberUniqueName="[tbMedições].[ETAPA].[All]" allUniqueName="[tbMedições].[ETAPA].[All]" dimensionUniqueName="[tbMedições]" displayFolder="" count="0" memberValueDatatype="130" unbalanced="0"/>
    <cacheHierarchy uniqueName="[tbMedições].[PERCENTUAL]" caption="PERCENTUAL" attribute="1" defaultMemberUniqueName="[tbMedições].[PERCENTUAL].[All]" allUniqueName="[tbMedições].[PERCENTUAL].[All]" dimensionUniqueName="[tbMedições]" displayFolder="" count="0" memberValueDatatype="5" unbalanced="0"/>
    <cacheHierarchy uniqueName="[tbMedições].[DATA PREVISTA]" caption="DATA PREVISTA" attribute="1" time="1" defaultMemberUniqueName="[tbMedições].[DATA PREVISTA].[All]" allUniqueName="[tbMedições].[DATA PREVISTA].[All]" dimensionUniqueName="[tbMedições]" displayFolder="" count="0" memberValueDatatype="7" unbalanced="0"/>
    <cacheHierarchy uniqueName="[tbMedições].[DATA MEDIÇÃO]" caption="DATA MEDIÇÃO" attribute="1" time="1" defaultMemberUniqueName="[tbMedições].[DATA MEDIÇÃO].[All]" allUniqueName="[tbMedições].[DATA MEDIÇÃO].[All]" dimensionUniqueName="[tbMedições]" displayFolder="" count="0" memberValueDatatype="7" unbalanced="0"/>
    <cacheHierarchy uniqueName="[tbMedições].[DATA REFERÊNCIA]" caption="DATA REFERÊNCIA" attribute="1" time="1" defaultMemberUniqueName="[tbMedições].[DATA REFERÊNCIA].[All]" allUniqueName="[tbMedições].[DATA REFERÊNCIA].[All]" dimensionUniqueName="[tbMedições]" displayFolder="" count="0" memberValueDatatype="7" unbalanced="0"/>
    <cacheHierarchy uniqueName="[tbMedições].[MÊS]" caption="MÊS" attribute="1" defaultMemberUniqueName="[tbMedições].[MÊS].[All]" allUniqueName="[tbMedições].[MÊS].[All]" dimensionUniqueName="[tbMedições]" displayFolder="" count="2" memberValueDatatype="130" unbalanced="0">
      <fieldsUsage count="2">
        <fieldUsage x="-1"/>
        <fieldUsage x="0"/>
      </fieldsUsage>
    </cacheHierarchy>
    <cacheHierarchy uniqueName="[tbMedições].[VALOR MEDIÇÃO]" caption="VALOR MEDIÇÃO" attribute="1" defaultMemberUniqueName="[tbMedições].[VALOR MEDIÇÃO].[All]" allUniqueName="[tbMedições].[VALOR MEDIÇÃO].[All]" dimensionUniqueName="[tbMedições]" displayFolder="" count="0" memberValueDatatype="5" unbalanced="0"/>
    <cacheHierarchy uniqueName="[tbMedições].[STATUS]" caption="STATUS" attribute="1" defaultMemberUniqueName="[tbMedições].[STATUS].[All]" allUniqueName="[tbMedições].[STATUS].[All]" dimensionUniqueName="[tbMedições]" displayFolder="" count="0" memberValueDatatype="130" unbalanced="0"/>
    <cacheHierarchy uniqueName="[tbMedições].[NF]" caption="NF" attribute="1" defaultMemberUniqueName="[tbMedições].[NF].[All]" allUniqueName="[tbMedições].[NF].[All]" dimensionUniqueName="[tbMedições]" displayFolder="" count="0" memberValueDatatype="20" unbalanced="0"/>
    <cacheHierarchy uniqueName="[tbMedições].[DATA PAGAMENTO]" caption="DATA PAGAMENTO" attribute="1" defaultMemberUniqueName="[tbMedições].[DATA PAGAMENTO].[All]" allUniqueName="[tbMedições].[DATA PAGAMENTO].[All]" dimensionUniqueName="[tbMedições]" displayFolder="" count="0" memberValueDatatype="130" unbalanced="0"/>
    <cacheHierarchy uniqueName="[tbObras].[OBRA_ID]" caption="OBRA_ID" attribute="1" defaultMemberUniqueName="[tbObras].[OBRA_ID].[All]" allUniqueName="[tbObras].[OBRA_ID].[All]" dimensionUniqueName="[tbObras]" displayFolder="" count="0" memberValueDatatype="130" unbalanced="0"/>
    <cacheHierarchy uniqueName="[tbObras].[CC]" caption="CC" attribute="1" defaultMemberUniqueName="[tbObras].[CC].[All]" allUniqueName="[tbObras].[CC].[All]" dimensionUniqueName="[tbObras]" displayFolder="" count="0" memberValueDatatype="20" unbalanced="0"/>
    <cacheHierarchy uniqueName="[tbObras].[CÓDIGO]" caption="CÓDIGO" attribute="1" defaultMemberUniqueName="[tbObras].[CÓDIGO].[All]" allUniqueName="[tbObras].[CÓDIGO].[All]" dimensionUniqueName="[tbObras]" displayFolder="" count="2" memberValueDatatype="130" unbalanced="0">
      <fieldsUsage count="2">
        <fieldUsage x="-1"/>
        <fieldUsage x="2"/>
      </fieldsUsage>
    </cacheHierarchy>
    <cacheHierarchy uniqueName="[tbObras].[NOME]" caption="NOME" attribute="1" defaultMemberUniqueName="[tbObras].[NOME].[All]" allUniqueName="[tbObras].[NOME].[All]" dimensionUniqueName="[tbObras]" displayFolder="" count="0" memberValueDatatype="130" unbalanced="0"/>
    <cacheHierarchy uniqueName="[tbObras].[ENDEREÇO]" caption="ENDEREÇO" attribute="1" defaultMemberUniqueName="[tbObras].[ENDEREÇO].[All]" allUniqueName="[tbObras].[ENDEREÇO].[All]" dimensionUniqueName="[tbObras]" displayFolder="" count="0" memberValueDatatype="130" unbalanced="0"/>
    <cacheHierarchy uniqueName="[tbOrçamento].[OBRA]" caption="OBRA" attribute="1" defaultMemberUniqueName="[tbOrçamento].[OBRA].[All]" allUniqueName="[tbOrçamento].[OBRA].[All]" dimensionUniqueName="[tbOrçamento]" displayFolder="" count="2" memberValueDatatype="130" unbalanced="0"/>
    <cacheHierarchy uniqueName="[tbOrçamento].[NOME OBRA]" caption="NOME OBRA" attribute="1" defaultMemberUniqueName="[tbOrçamento].[NOME OBRA].[All]" allUniqueName="[tbOrçamento].[NOME OBRA].[All]" dimensionUniqueName="[tbOrçamento]" displayFolder="" count="0" memberValueDatatype="130" unbalanced="0"/>
    <cacheHierarchy uniqueName="[tbOrçamento].[DISCIPLINA]" caption="DISCIPLINA" attribute="1" defaultMemberUniqueName="[tbOrçamento].[DISCIPLINA].[All]" allUniqueName="[tbOrçamento].[DISCIPLINA].[All]" dimensionUniqueName="[tbOrçamento]" displayFolder="" count="0" memberValueDatatype="130" unbalanced="0"/>
    <cacheHierarchy uniqueName="[tbOrçamento].[SUBDISCIPLINA]" caption="SUBDISCIPLINA" attribute="1" defaultMemberUniqueName="[tbOrçamento].[SUBDISCIPLINA].[All]" allUniqueName="[tbOrçamento].[SUBDISCIPLINA].[All]" dimensionUniqueName="[tbOrçamento]" displayFolder="" count="0" memberValueDatatype="130" unbalanced="0"/>
    <cacheHierarchy uniqueName="[tbOrçamento].[ORÇAMENTO BASE]" caption="ORÇAMENTO BASE" attribute="1" defaultMemberUniqueName="[tbOrçamento].[ORÇAMENTO BASE].[All]" allUniqueName="[tbOrçamento].[ORÇAMENTO BASE].[All]" dimensionUniqueName="[tbOrçamento]" displayFolder="" count="0" memberValueDatatype="5" unbalanced="0"/>
    <cacheHierarchy uniqueName="[tbOrçamento].[VALOR CONTRATADO]" caption="VALOR CONTRATADO" attribute="1" defaultMemberUniqueName="[tbOrçamento].[VALOR CONTRATADO].[All]" allUniqueName="[tbOrçamento].[VALOR CONTRATADO].[All]" dimensionUniqueName="[tbOrçamento]" displayFolder="" count="0" memberValueDatatype="5" unbalanced="0"/>
    <cacheHierarchy uniqueName="[tbOrçamento].[SALDO A CONTRATAR]" caption="SALDO A CONTRATAR" attribute="1" defaultMemberUniqueName="[tbOrçamento].[SALDO A CONTRATAR].[All]" allUniqueName="[tbOrçamento].[SALDO A CONTRATAR].[All]" dimensionUniqueName="[tbOrçamento]" displayFolder="" count="0" memberValueDatatype="5" unbalanced="0"/>
    <cacheHierarchy uniqueName="[tbOrçamento].[VALOR MEDIDO]" caption="VALOR MEDIDO" attribute="1" defaultMemberUniqueName="[tbOrçamento].[VALOR MEDIDO].[All]" allUniqueName="[tbOrçamento].[VALOR MEDIDO].[All]" dimensionUniqueName="[tbOrçamento]" displayFolder="" count="0" memberValueDatatype="5" unbalanced="0"/>
    <cacheHierarchy uniqueName="[tbOrçamento].[SALDO MEDIÇÃO]" caption="SALDO MEDIÇÃO" attribute="1" defaultMemberUniqueName="[tbOrçamento].[SALDO MEDIÇÃO].[All]" allUniqueName="[tbOrçamento].[SALDO MEDIÇÃO].[All]" dimensionUniqueName="[tbOrçamento]" displayFolder="" count="0" memberValueDatatype="5" unbalanced="0"/>
    <cacheHierarchy uniqueName="[tbOrçamento].[STATUS]" caption="STATUS" attribute="1" defaultMemberUniqueName="[tbOrçamento].[STATUS].[All]" allUniqueName="[tbOrçamento].[STATUS].[All]" dimensionUniqueName="[tbOrçamento]" displayFolder="" count="0" memberValueDatatype="130" unbalanced="0"/>
    <cacheHierarchy uniqueName="[Measures].[__XL_Count tbOrçamento]" caption="__XL_Count tbOrçamento" measure="1" displayFolder="" measureGroup="tbOrçamento" count="0" hidden="1"/>
    <cacheHierarchy uniqueName="[Measures].[__XL_Count tbObras]" caption="__XL_Count tbObras" measure="1" displayFolder="" measureGroup="tbObras" count="0" hidden="1"/>
    <cacheHierarchy uniqueName="[Measures].[__XL_Count tbMedições]" caption="__XL_Count tbMedições" measure="1" displayFolder="" measureGroup="tbMedições" count="0" hidden="1"/>
    <cacheHierarchy uniqueName="[Measures].[__XL_Count tbContratos]" caption="__XL_Count tbContratos" measure="1" displayFolder="" measureGroup="tbContratos" count="0" hidden="1"/>
    <cacheHierarchy uniqueName="[Measures].[__No measures defined]" caption="__No measures defined" measure="1" displayFolder="" count="0" hidden="1"/>
    <cacheHierarchy uniqueName="[Measures].[Soma de ORÇAMENTO BASE]" caption="Soma de ORÇAMENTO BASE" measure="1" displayFolder="" measureGroup="tbOrçamento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VALOR CONTRATADO]" caption="Soma de VALOR CONTRATAD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SALDO A CONTRATAR]" caption="Soma de SALDO A CONTRATAR" measure="1" displayFolder="" measureGroup="tbOrçamento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VALOR MEDIDO]" caption="Soma de VALOR MEDID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SALDO MEDIÇÃO]" caption="Soma de SALDO MEDIÇÃ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ALOR MEDIÇÃO]" caption="Soma de VALOR MEDIÇÃO" measure="1" displayFolder="" measureGroup="tbMediçõ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Dummy0" caption="CONTRATO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measure="1" name="Measures" uniqueName="[Measures]" caption="Measures"/>
    <dimension name="tbContratos" uniqueName="[tbContratos]" caption="tbContratos"/>
    <dimension name="tbMedições" uniqueName="[tbMedições]" caption="tbMedições"/>
    <dimension name="tbObras" uniqueName="[tbObras]" caption="tbObras"/>
    <dimension name="tbOrçamento" uniqueName="[tbOrçamento]" caption="tbOrçamento"/>
  </dimensions>
  <measureGroups count="4">
    <measureGroup name="tbContratos" caption="tbContratos"/>
    <measureGroup name="tbMedições" caption="tbMedições"/>
    <measureGroup name="tbObras" caption="tbObras"/>
    <measureGroup name="tbOrçamento" caption="tbOrçamento"/>
  </measureGroups>
  <maps count="7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hur Pena" refreshedDate="46239.47877962963" backgroundQuery="1" createdVersion="3" refreshedVersion="7" minRefreshableVersion="3" recordCount="0" supportSubquery="1" supportAdvancedDrill="1" xr:uid="{49C625A7-F82E-40AF-BD2C-9A2137D905D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2">
    <cacheHierarchy uniqueName="[tbContratos].[CONTRATO_ID]" caption="CONTRATO_ID" attribute="1" defaultMemberUniqueName="[tbContratos].[CONTRATO_ID].[All]" allUniqueName="[tbContratos].[CONTRATO_ID].[All]" dimensionUniqueName="[tbContratos]" displayFolder="" count="0" memberValueDatatype="130" unbalanced="0"/>
    <cacheHierarchy uniqueName="[tbContratos].[NUM SIENGE]" caption="NUM SIENGE" attribute="1" defaultMemberUniqueName="[tbContratos].[NUM SIENGE].[All]" allUniqueName="[tbContratos].[NUM SIENGE].[All]" dimensionUniqueName="[tbContratos]" displayFolder="" count="0" memberValueDatatype="20" unbalanced="0"/>
    <cacheHierarchy uniqueName="[tbContratos].[EMPRESA]" caption="EMPRESA" attribute="1" defaultMemberUniqueName="[tbContratos].[EMPRESA].[All]" allUniqueName="[tbContratos].[EMPRESA].[All]" dimensionUniqueName="[tbContratos]" displayFolder="" count="0" memberValueDatatype="130" unbalanced="0"/>
    <cacheHierarchy uniqueName="[tbContratos].[OBRA]" caption="OBRA" attribute="1" defaultMemberUniqueName="[tbContratos].[OBRA].[All]" allUniqueName="[tbContratos].[OBRA].[All]" dimensionUniqueName="[tbContratos]" displayFolder="" count="0" memberValueDatatype="130" unbalanced="0"/>
    <cacheHierarchy uniqueName="[tbContratos].[DISCIPLINA]" caption="DISCIPLINA" attribute="1" defaultMemberUniqueName="[tbContratos].[DISCIPLINA].[All]" allUniqueName="[tbContratos].[DISCIPLINA].[All]" dimensionUniqueName="[tbContratos]" displayFolder="" count="0" memberValueDatatype="130" unbalanced="0"/>
    <cacheHierarchy uniqueName="[tbContratos].[SUBDISCIPLINA]" caption="SUBDISCIPLINA" attribute="1" defaultMemberUniqueName="[tbContratos].[SUBDISCIPLINA].[All]" allUniqueName="[tbContratos].[SUBDISCIPLINA].[All]" dimensionUniqueName="[tbContratos]" displayFolder="" count="0" memberValueDatatype="130" unbalanced="0"/>
    <cacheHierarchy uniqueName="[tbContratos].[VALOR NEGOCIADO]" caption="VALOR NEGOCIADO" attribute="1" defaultMemberUniqueName="[tbContratos].[VALOR NEGOCIADO].[All]" allUniqueName="[tbContratos].[VALOR NEGOCIADO].[All]" dimensionUniqueName="[tbContratos]" displayFolder="" count="0" memberValueDatatype="5" unbalanced="0"/>
    <cacheHierarchy uniqueName="[tbContratos].[VALOR ADITIVO]" caption="VALOR ADITIVO" attribute="1" defaultMemberUniqueName="[tbContratos].[VALOR ADITIVO].[All]" allUniqueName="[tbContratos].[VALOR ADITIVO].[All]" dimensionUniqueName="[tbContratos]" displayFolder="" count="0" memberValueDatatype="130" unbalanced="0"/>
    <cacheHierarchy uniqueName="[tbContratos].[VALOR CONTRATO]" caption="VALOR CONTRATO" attribute="1" defaultMemberUniqueName="[tbContratos].[VALOR CONTRATO].[All]" allUniqueName="[tbContratos].[VALOR CONTRATO].[All]" dimensionUniqueName="[tbContratos]" displayFolder="" count="0" memberValueDatatype="5" unbalanced="0"/>
    <cacheHierarchy uniqueName="[tbContratos].[VALOR MEDIDO]" caption="VALOR MEDIDO" attribute="1" defaultMemberUniqueName="[tbContratos].[VALOR MEDIDO].[All]" allUniqueName="[tbContratos].[VALOR MEDIDO].[All]" dimensionUniqueName="[tbContratos]" displayFolder="" count="0" memberValueDatatype="5" unbalanced="0"/>
    <cacheHierarchy uniqueName="[tbContratos].[SALDO A MEDIR]" caption="SALDO A MEDIR" attribute="1" defaultMemberUniqueName="[tbContratos].[SALDO A MEDIR].[All]" allUniqueName="[tbContratos].[SALDO A MEDIR].[All]" dimensionUniqueName="[tbContratos]" displayFolder="" count="0" memberValueDatatype="5" unbalanced="0"/>
    <cacheHierarchy uniqueName="[tbContratos].[PERCENTUAL MEDIDO]" caption="PERCENTUAL MEDIDO" attribute="1" defaultMemberUniqueName="[tbContratos].[PERCENTUAL MEDIDO].[All]" allUniqueName="[tbContratos].[PERCENTUAL MEDIDO].[All]" dimensionUniqueName="[tbContratos]" displayFolder="" count="0" memberValueDatatype="5" unbalanced="0"/>
    <cacheHierarchy uniqueName="[tbMedições].[Estudo preliminar]" caption="Estudo preliminar" attribute="1" defaultMemberUniqueName="[tbMedições].[Estudo preliminar].[All]" allUniqueName="[tbMedições].[Estudo preliminar].[All]" dimensionUniqueName="[tbMedições]" displayFolder="" count="0" memberValueDatatype="130" unbalanced="0"/>
    <cacheHierarchy uniqueName="[tbMedições].[CONTRATO_ID]" caption="CONTRATO_ID" attribute="1" defaultMemberUniqueName="[tbMedições].[CONTRATO_ID].[All]" allUniqueName="[tbMedições].[CONTRATO_ID].[All]" dimensionUniqueName="[tbMedições]" displayFolder="" count="0" memberValueDatatype="130" unbalanced="0"/>
    <cacheHierarchy uniqueName="[tbMedições].[EMPRESA]" caption="EMPRESA" attribute="1" defaultMemberUniqueName="[tbMedições].[EMPRESA].[All]" allUniqueName="[tbMedições].[EMPRESA].[All]" dimensionUniqueName="[tbMedições]" displayFolder="" count="0" memberValueDatatype="130" unbalanced="0"/>
    <cacheHierarchy uniqueName="[tbMedições].[OBRA]" caption="OBRA" attribute="1" defaultMemberUniqueName="[tbMedições].[OBRA].[All]" allUniqueName="[tbMedições].[OBRA].[All]" dimensionUniqueName="[tbMedições]" displayFolder="" count="0" memberValueDatatype="130" unbalanced="0"/>
    <cacheHierarchy uniqueName="[tbMedições].[ETAPA]" caption="ETAPA" attribute="1" defaultMemberUniqueName="[tbMedições].[ETAPA].[All]" allUniqueName="[tbMedições].[ETAPA].[All]" dimensionUniqueName="[tbMedições]" displayFolder="" count="0" memberValueDatatype="130" unbalanced="0"/>
    <cacheHierarchy uniqueName="[tbMedições].[PERCENTUAL]" caption="PERCENTUAL" attribute="1" defaultMemberUniqueName="[tbMedições].[PERCENTUAL].[All]" allUniqueName="[tbMedições].[PERCENTUAL].[All]" dimensionUniqueName="[tbMedições]" displayFolder="" count="0" memberValueDatatype="5" unbalanced="0"/>
    <cacheHierarchy uniqueName="[tbMedições].[DATA PREVISTA]" caption="DATA PREVISTA" attribute="1" time="1" defaultMemberUniqueName="[tbMedições].[DATA PREVISTA].[All]" allUniqueName="[tbMedições].[DATA PREVISTA].[All]" dimensionUniqueName="[tbMedições]" displayFolder="" count="0" memberValueDatatype="7" unbalanced="0"/>
    <cacheHierarchy uniqueName="[tbMedições].[DATA MEDIÇÃO]" caption="DATA MEDIÇÃO" attribute="1" time="1" defaultMemberUniqueName="[tbMedições].[DATA MEDIÇÃO].[All]" allUniqueName="[tbMedições].[DATA MEDIÇÃO].[All]" dimensionUniqueName="[tbMedições]" displayFolder="" count="0" memberValueDatatype="7" unbalanced="0"/>
    <cacheHierarchy uniqueName="[tbMedições].[DATA REFERÊNCIA]" caption="DATA REFERÊNCIA" attribute="1" time="1" defaultMemberUniqueName="[tbMedições].[DATA REFERÊNCIA].[All]" allUniqueName="[tbMedições].[DATA REFERÊNCIA].[All]" dimensionUniqueName="[tbMedições]" displayFolder="" count="0" memberValueDatatype="7" unbalanced="0"/>
    <cacheHierarchy uniqueName="[tbMedições].[MÊS]" caption="MÊS" attribute="1" defaultMemberUniqueName="[tbMedições].[MÊS].[All]" allUniqueName="[tbMedições].[MÊS].[All]" dimensionUniqueName="[tbMedições]" displayFolder="" count="0" memberValueDatatype="130" unbalanced="0"/>
    <cacheHierarchy uniqueName="[tbMedições].[VALOR MEDIÇÃO]" caption="VALOR MEDIÇÃO" attribute="1" defaultMemberUniqueName="[tbMedições].[VALOR MEDIÇÃO].[All]" allUniqueName="[tbMedições].[VALOR MEDIÇÃO].[All]" dimensionUniqueName="[tbMedições]" displayFolder="" count="0" memberValueDatatype="5" unbalanced="0"/>
    <cacheHierarchy uniqueName="[tbMedições].[STATUS]" caption="STATUS" attribute="1" defaultMemberUniqueName="[tbMedições].[STATUS].[All]" allUniqueName="[tbMedições].[STATUS].[All]" dimensionUniqueName="[tbMedições]" displayFolder="" count="0" memberValueDatatype="130" unbalanced="0"/>
    <cacheHierarchy uniqueName="[tbMedições].[NF]" caption="NF" attribute="1" defaultMemberUniqueName="[tbMedições].[NF].[All]" allUniqueName="[tbMedições].[NF].[All]" dimensionUniqueName="[tbMedições]" displayFolder="" count="0" memberValueDatatype="20" unbalanced="0"/>
    <cacheHierarchy uniqueName="[tbMedições].[DATA PAGAMENTO]" caption="DATA PAGAMENTO" attribute="1" defaultMemberUniqueName="[tbMedições].[DATA PAGAMENTO].[All]" allUniqueName="[tbMedições].[DATA PAGAMENTO].[All]" dimensionUniqueName="[tbMedições]" displayFolder="" count="0" memberValueDatatype="130" unbalanced="0"/>
    <cacheHierarchy uniqueName="[tbObras].[OBRA_ID]" caption="OBRA_ID" attribute="1" defaultMemberUniqueName="[tbObras].[OBRA_ID].[All]" allUniqueName="[tbObras].[OBRA_ID].[All]" dimensionUniqueName="[tbObras]" displayFolder="" count="0" memberValueDatatype="130" unbalanced="0"/>
    <cacheHierarchy uniqueName="[tbObras].[CC]" caption="CC" attribute="1" defaultMemberUniqueName="[tbObras].[CC].[All]" allUniqueName="[tbObras].[CC].[All]" dimensionUniqueName="[tbObras]" displayFolder="" count="0" memberValueDatatype="20" unbalanced="0"/>
    <cacheHierarchy uniqueName="[tbObras].[CÓDIGO]" caption="CÓDIGO" attribute="1" defaultMemberUniqueName="[tbObras].[CÓDIGO].[All]" allUniqueName="[tbObras].[CÓDIGO].[All]" dimensionUniqueName="[tbObras]" displayFolder="" count="2" memberValueDatatype="130" unbalanced="0"/>
    <cacheHierarchy uniqueName="[tbObras].[NOME]" caption="NOME" attribute="1" defaultMemberUniqueName="[tbObras].[NOME].[All]" allUniqueName="[tbObras].[NOME].[All]" dimensionUniqueName="[tbObras]" displayFolder="" count="0" memberValueDatatype="130" unbalanced="0"/>
    <cacheHierarchy uniqueName="[tbObras].[ENDEREÇO]" caption="ENDEREÇO" attribute="1" defaultMemberUniqueName="[tbObras].[ENDEREÇO].[All]" allUniqueName="[tbObras].[ENDEREÇO].[All]" dimensionUniqueName="[tbObras]" displayFolder="" count="0" memberValueDatatype="130" unbalanced="0"/>
    <cacheHierarchy uniqueName="[tbOrçamento].[OBRA]" caption="OBRA" attribute="1" defaultMemberUniqueName="[tbOrçamento].[OBRA].[All]" allUniqueName="[tbOrçamento].[OBRA].[All]" dimensionUniqueName="[tbOrçamento]" displayFolder="" count="0" memberValueDatatype="130" unbalanced="0"/>
    <cacheHierarchy uniqueName="[tbOrçamento].[NOME OBRA]" caption="NOME OBRA" attribute="1" defaultMemberUniqueName="[tbOrçamento].[NOME OBRA].[All]" allUniqueName="[tbOrçamento].[NOME OBRA].[All]" dimensionUniqueName="[tbOrçamento]" displayFolder="" count="0" memberValueDatatype="130" unbalanced="0"/>
    <cacheHierarchy uniqueName="[tbOrçamento].[DISCIPLINA]" caption="DISCIPLINA" attribute="1" defaultMemberUniqueName="[tbOrçamento].[DISCIPLINA].[All]" allUniqueName="[tbOrçamento].[DISCIPLINA].[All]" dimensionUniqueName="[tbOrçamento]" displayFolder="" count="0" memberValueDatatype="130" unbalanced="0"/>
    <cacheHierarchy uniqueName="[tbOrçamento].[SUBDISCIPLINA]" caption="SUBDISCIPLINA" attribute="1" defaultMemberUniqueName="[tbOrçamento].[SUBDISCIPLINA].[All]" allUniqueName="[tbOrçamento].[SUBDISCIPLINA].[All]" dimensionUniqueName="[tbOrçamento]" displayFolder="" count="0" memberValueDatatype="130" unbalanced="0"/>
    <cacheHierarchy uniqueName="[tbOrçamento].[ORÇAMENTO BASE]" caption="ORÇAMENTO BASE" attribute="1" defaultMemberUniqueName="[tbOrçamento].[ORÇAMENTO BASE].[All]" allUniqueName="[tbOrçamento].[ORÇAMENTO BASE].[All]" dimensionUniqueName="[tbOrçamento]" displayFolder="" count="0" memberValueDatatype="5" unbalanced="0"/>
    <cacheHierarchy uniqueName="[tbOrçamento].[VALOR CONTRATADO]" caption="VALOR CONTRATADO" attribute="1" defaultMemberUniqueName="[tbOrçamento].[VALOR CONTRATADO].[All]" allUniqueName="[tbOrçamento].[VALOR CONTRATADO].[All]" dimensionUniqueName="[tbOrçamento]" displayFolder="" count="0" memberValueDatatype="5" unbalanced="0"/>
    <cacheHierarchy uniqueName="[tbOrçamento].[SALDO A CONTRATAR]" caption="SALDO A CONTRATAR" attribute="1" defaultMemberUniqueName="[tbOrçamento].[SALDO A CONTRATAR].[All]" allUniqueName="[tbOrçamento].[SALDO A CONTRATAR].[All]" dimensionUniqueName="[tbOrçamento]" displayFolder="" count="0" memberValueDatatype="5" unbalanced="0"/>
    <cacheHierarchy uniqueName="[tbOrçamento].[VALOR MEDIDO]" caption="VALOR MEDIDO" attribute="1" defaultMemberUniqueName="[tbOrçamento].[VALOR MEDIDO].[All]" allUniqueName="[tbOrçamento].[VALOR MEDIDO].[All]" dimensionUniqueName="[tbOrçamento]" displayFolder="" count="0" memberValueDatatype="5" unbalanced="0"/>
    <cacheHierarchy uniqueName="[tbOrçamento].[SALDO MEDIÇÃO]" caption="SALDO MEDIÇÃO" attribute="1" defaultMemberUniqueName="[tbOrçamento].[SALDO MEDIÇÃO].[All]" allUniqueName="[tbOrçamento].[SALDO MEDIÇÃO].[All]" dimensionUniqueName="[tbOrçamento]" displayFolder="" count="0" memberValueDatatype="5" unbalanced="0"/>
    <cacheHierarchy uniqueName="[tbOrçamento].[STATUS]" caption="STATUS" attribute="1" defaultMemberUniqueName="[tbOrçamento].[STATUS].[All]" allUniqueName="[tbOrçamento].[STATUS].[All]" dimensionUniqueName="[tbOrçamento]" displayFolder="" count="0" memberValueDatatype="130" unbalanced="0"/>
    <cacheHierarchy uniqueName="[Measures].[__XL_Count tbOrçamento]" caption="__XL_Count tbOrçamento" measure="1" displayFolder="" measureGroup="tbOrçamento" count="0" hidden="1"/>
    <cacheHierarchy uniqueName="[Measures].[__XL_Count tbObras]" caption="__XL_Count tbObras" measure="1" displayFolder="" measureGroup="tbObras" count="0" hidden="1"/>
    <cacheHierarchy uniqueName="[Measures].[__XL_Count tbMedições]" caption="__XL_Count tbMedições" measure="1" displayFolder="" measureGroup="tbMedições" count="0" hidden="1"/>
    <cacheHierarchy uniqueName="[Measures].[__XL_Count tbContratos]" caption="__XL_Count tbContratos" measure="1" displayFolder="" measureGroup="tbContratos" count="0" hidden="1"/>
    <cacheHierarchy uniqueName="[Measures].[__No measures defined]" caption="__No measures defined" measure="1" displayFolder="" count="0" hidden="1"/>
    <cacheHierarchy uniqueName="[Measures].[Soma de ORÇAMENTO BASE]" caption="Soma de ORÇAMENTO BASE" measure="1" displayFolder="" measureGroup="tbOrçamento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VALOR CONTRATADO]" caption="Soma de VALOR CONTRATAD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SALDO A CONTRATAR]" caption="Soma de SALDO A CONTRATAR" measure="1" displayFolder="" measureGroup="tbOrçamento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VALOR MEDIDO]" caption="Soma de VALOR MEDID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SALDO MEDIÇÃO]" caption="Soma de SALDO MEDIÇÃO" measure="1" displayFolder="" measureGroup="tbOrçamen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ALOR MEDIÇÃO]" caption="Soma de VALOR MEDIÇÃO" measure="1" displayFolder="" measureGroup="tbMediçõ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42428815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s v="MED001"/>
    <s v="CT001"/>
    <s v="SOMA"/>
    <x v="0"/>
    <s v="Aceita proposta"/>
    <n v="0.1"/>
    <x v="0"/>
    <x v="0"/>
    <x v="0"/>
    <x v="0"/>
    <n v="10800"/>
    <s v="Pago"/>
    <m/>
    <m/>
  </r>
  <r>
    <s v="MED002"/>
    <s v="CT001"/>
    <s v="SOMA"/>
    <x v="0"/>
    <s v="Emissão inicial EP"/>
    <n v="0.1"/>
    <x v="0"/>
    <x v="1"/>
    <x v="1"/>
    <x v="1"/>
    <n v="10800"/>
    <s v="Pago"/>
    <m/>
    <m/>
  </r>
  <r>
    <s v="MED003"/>
    <s v="CT001"/>
    <s v="SOMA"/>
    <x v="0"/>
    <s v="Emissão final EP"/>
    <n v="0.1"/>
    <x v="0"/>
    <x v="2"/>
    <x v="2"/>
    <x v="2"/>
    <n v="10800"/>
    <s v="Pago"/>
    <n v="375"/>
    <m/>
  </r>
  <r>
    <s v="MED004"/>
    <s v="CT001"/>
    <s v="SOMA"/>
    <x v="0"/>
    <s v="Emissão inicial PL"/>
    <n v="0.15"/>
    <x v="0"/>
    <x v="3"/>
    <x v="3"/>
    <x v="3"/>
    <n v="16200"/>
    <s v="Pago"/>
    <n v="467"/>
    <m/>
  </r>
  <r>
    <s v="MED005"/>
    <s v="CT001"/>
    <s v="SOMA"/>
    <x v="0"/>
    <s v="1° Comunique-se"/>
    <n v="0.3"/>
    <x v="0"/>
    <x v="4"/>
    <x v="4"/>
    <x v="4"/>
    <n v="32400"/>
    <s v="Pago"/>
    <n v="593"/>
    <m/>
  </r>
  <r>
    <s v="MED006"/>
    <s v="CT001"/>
    <s v="SOMA"/>
    <x v="0"/>
    <s v="2° Comunique-se"/>
    <n v="0.2"/>
    <x v="0"/>
    <x v="5"/>
    <x v="5"/>
    <x v="5"/>
    <n v="21600"/>
    <s v="Medido"/>
    <n v="653"/>
    <m/>
  </r>
  <r>
    <s v="MED007"/>
    <s v="CT001"/>
    <s v="SOMA"/>
    <x v="0"/>
    <s v="Emissão alvará "/>
    <n v="0.05"/>
    <x v="1"/>
    <x v="6"/>
    <x v="6"/>
    <x v="6"/>
    <n v="5400"/>
    <s v="A medir"/>
    <m/>
    <m/>
  </r>
  <r>
    <s v="MED008"/>
    <s v="CT002"/>
    <s v="SOMA"/>
    <x v="1"/>
    <s v="Aceite proposta"/>
    <n v="0.1"/>
    <x v="0"/>
    <x v="7"/>
    <x v="7"/>
    <x v="3"/>
    <n v="8568"/>
    <s v="Pago"/>
    <n v="415"/>
    <m/>
  </r>
  <r>
    <s v="MED009"/>
    <s v="CT002"/>
    <s v="SOMA"/>
    <x v="1"/>
    <s v="Estudo de massa"/>
    <n v="0.1"/>
    <x v="0"/>
    <x v="8"/>
    <x v="8"/>
    <x v="7"/>
    <n v="8568"/>
    <s v="Pago"/>
    <n v="469"/>
    <m/>
  </r>
  <r>
    <s v="MED010"/>
    <s v="CT002"/>
    <s v="SOMA"/>
    <x v="1"/>
    <s v="Emissão inicial EP"/>
    <n v="0.2"/>
    <x v="0"/>
    <x v="4"/>
    <x v="4"/>
    <x v="4"/>
    <n v="17136"/>
    <s v="Pago"/>
    <n v="594"/>
    <m/>
  </r>
  <r>
    <s v="MED011"/>
    <s v="CT002"/>
    <s v="SOMA"/>
    <x v="1"/>
    <s v="Emissão final EP"/>
    <n v="0.15"/>
    <x v="0"/>
    <x v="9"/>
    <x v="9"/>
    <x v="8"/>
    <n v="12852"/>
    <s v="Pago"/>
    <n v="641"/>
    <m/>
  </r>
  <r>
    <s v="MED012"/>
    <s v="CT002"/>
    <s v="SOMA"/>
    <x v="1"/>
    <s v="Emissão PL"/>
    <n v="0.2"/>
    <x v="2"/>
    <x v="6"/>
    <x v="10"/>
    <x v="5"/>
    <n v="17136"/>
    <s v="A medir"/>
    <m/>
    <m/>
  </r>
  <r>
    <s v="MED013"/>
    <s v="CT002"/>
    <s v="SOMA"/>
    <x v="1"/>
    <s v="1° Comunique-se"/>
    <n v="0.1"/>
    <x v="3"/>
    <x v="6"/>
    <x v="11"/>
    <x v="6"/>
    <n v="8568"/>
    <s v="A medir"/>
    <m/>
    <m/>
  </r>
  <r>
    <s v="MED014"/>
    <s v="CT002"/>
    <s v="SOMA"/>
    <x v="1"/>
    <s v="2° Comunique-se"/>
    <n v="0.1"/>
    <x v="4"/>
    <x v="6"/>
    <x v="12"/>
    <x v="9"/>
    <n v="8568"/>
    <s v="A medir"/>
    <m/>
    <m/>
  </r>
  <r>
    <s v="MED015"/>
    <s v="CT002"/>
    <s v="SOMA"/>
    <x v="1"/>
    <s v="Emissão alvará"/>
    <n v="0.05"/>
    <x v="5"/>
    <x v="6"/>
    <x v="13"/>
    <x v="10"/>
    <n v="4284"/>
    <s v="A medir"/>
    <m/>
    <m/>
  </r>
  <r>
    <s v="MED016"/>
    <s v="CT003"/>
    <s v="SOMA"/>
    <x v="2"/>
    <s v="Aceite proposta"/>
    <n v="0.1"/>
    <x v="0"/>
    <x v="7"/>
    <x v="7"/>
    <x v="3"/>
    <n v="16000"/>
    <s v="Pago"/>
    <n v="414"/>
    <m/>
  </r>
  <r>
    <s v="MED017"/>
    <s v="CT003"/>
    <s v="SOMA"/>
    <x v="2"/>
    <s v="Estudo de massa"/>
    <n v="0.1"/>
    <x v="0"/>
    <x v="8"/>
    <x v="8"/>
    <x v="7"/>
    <n v="16000"/>
    <s v="Pago"/>
    <n v="468"/>
    <m/>
  </r>
  <r>
    <s v="MED018"/>
    <s v="CT003"/>
    <s v="SOMA"/>
    <x v="2"/>
    <s v="Emissão inicial EP"/>
    <n v="0.2"/>
    <x v="0"/>
    <x v="4"/>
    <x v="4"/>
    <x v="4"/>
    <n v="32000"/>
    <s v="Pago"/>
    <n v="595"/>
    <m/>
  </r>
  <r>
    <s v="MED019"/>
    <s v="CT003"/>
    <s v="SOMA"/>
    <x v="2"/>
    <s v="Emissão final EP"/>
    <n v="0.15"/>
    <x v="6"/>
    <x v="6"/>
    <x v="14"/>
    <x v="6"/>
    <n v="24000"/>
    <s v="A medir"/>
    <m/>
    <m/>
  </r>
  <r>
    <s v="MED020"/>
    <s v="CT003"/>
    <s v="SOMA"/>
    <x v="2"/>
    <s v="Emissão PL"/>
    <n v="0.2"/>
    <x v="7"/>
    <x v="6"/>
    <x v="15"/>
    <x v="9"/>
    <n v="32000"/>
    <s v="A medir"/>
    <m/>
    <m/>
  </r>
  <r>
    <s v="MED021"/>
    <s v="CT003"/>
    <s v="SOMA"/>
    <x v="2"/>
    <s v="1° Comunique-se"/>
    <n v="0.1"/>
    <x v="8"/>
    <x v="6"/>
    <x v="16"/>
    <x v="10"/>
    <n v="16000"/>
    <s v="A medir"/>
    <m/>
    <m/>
  </r>
  <r>
    <s v="MED022"/>
    <s v="CT003"/>
    <s v="SOMA"/>
    <x v="2"/>
    <s v="2° Comunique-se"/>
    <n v="0.1"/>
    <x v="9"/>
    <x v="6"/>
    <x v="17"/>
    <x v="11"/>
    <n v="16000"/>
    <s v="A medir"/>
    <m/>
    <m/>
  </r>
  <r>
    <s v="MED023"/>
    <s v="CT003"/>
    <s v="SOMA"/>
    <x v="2"/>
    <s v="Emissão alvará"/>
    <n v="0.05"/>
    <x v="10"/>
    <x v="6"/>
    <x v="18"/>
    <x v="12"/>
    <n v="8000"/>
    <s v="A medir"/>
    <m/>
    <m/>
  </r>
  <r>
    <s v="MED024"/>
    <s v="CT004"/>
    <s v="SOMA"/>
    <x v="3"/>
    <s v="Aceite proposta"/>
    <n v="0.1"/>
    <x v="0"/>
    <x v="10"/>
    <x v="19"/>
    <x v="0"/>
    <n v="7800"/>
    <s v="Pago"/>
    <m/>
    <m/>
  </r>
  <r>
    <s v="MED025"/>
    <s v="CT004"/>
    <s v="SOMA"/>
    <x v="3"/>
    <s v="Emissão inicial EP"/>
    <n v="0.2"/>
    <x v="0"/>
    <x v="11"/>
    <x v="20"/>
    <x v="13"/>
    <n v="15600"/>
    <s v="Pago"/>
    <m/>
    <m/>
  </r>
  <r>
    <s v="MED026"/>
    <s v="CT004"/>
    <s v="SOMA"/>
    <x v="3"/>
    <s v="Emissão final EP"/>
    <n v="0.2"/>
    <x v="11"/>
    <x v="6"/>
    <x v="21"/>
    <x v="9"/>
    <n v="15600"/>
    <s v="A medir"/>
    <m/>
    <m/>
  </r>
  <r>
    <s v="MED027"/>
    <s v="CT004"/>
    <s v="SOMA"/>
    <x v="3"/>
    <s v="Emissão inicial PL"/>
    <n v="0.2"/>
    <x v="0"/>
    <x v="6"/>
    <x v="22"/>
    <x v="14"/>
    <n v="15600"/>
    <s v="Cancelada"/>
    <m/>
    <m/>
  </r>
  <r>
    <s v="MED028"/>
    <s v="CT004"/>
    <s v="SOMA"/>
    <x v="3"/>
    <s v="1° Comunique-se"/>
    <n v="0.15"/>
    <x v="0"/>
    <x v="6"/>
    <x v="22"/>
    <x v="14"/>
    <n v="11700"/>
    <s v="Cancelada"/>
    <m/>
    <m/>
  </r>
  <r>
    <s v="MED029"/>
    <s v="CT004"/>
    <s v="SOMA"/>
    <x v="3"/>
    <s v="2° Comunique-se"/>
    <n v="0.1"/>
    <x v="0"/>
    <x v="6"/>
    <x v="22"/>
    <x v="14"/>
    <n v="7800"/>
    <s v="Cancelada"/>
    <m/>
    <m/>
  </r>
  <r>
    <s v="MED030"/>
    <s v="CT004"/>
    <s v="SOMA"/>
    <x v="3"/>
    <s v="Emissão alvará"/>
    <n v="0.05"/>
    <x v="0"/>
    <x v="6"/>
    <x v="22"/>
    <x v="14"/>
    <n v="3900"/>
    <s v="Cancelada"/>
    <m/>
    <m/>
  </r>
  <r>
    <s v="MED031"/>
    <s v="CT005"/>
    <s v="MBUIATE"/>
    <x v="0"/>
    <s v="Entrada"/>
    <n v="0.05"/>
    <x v="0"/>
    <x v="12"/>
    <x v="23"/>
    <x v="15"/>
    <n v="4500"/>
    <s v="Pago"/>
    <m/>
    <m/>
  </r>
  <r>
    <s v="MED032"/>
    <s v="CT005"/>
    <s v="MBUIATE"/>
    <x v="0"/>
    <s v="Projeto preliminar"/>
    <n v="0.15"/>
    <x v="0"/>
    <x v="13"/>
    <x v="24"/>
    <x v="4"/>
    <n v="13500"/>
    <s v="Pago"/>
    <m/>
    <m/>
  </r>
  <r>
    <s v="MED033"/>
    <s v="CT005"/>
    <s v="MBUIATE"/>
    <x v="0"/>
    <s v="Projeto pré-executivo"/>
    <n v="0.4"/>
    <x v="5"/>
    <x v="6"/>
    <x v="13"/>
    <x v="10"/>
    <n v="36000"/>
    <s v="A medir"/>
    <m/>
    <m/>
  </r>
  <r>
    <s v="MED034"/>
    <s v="CT005"/>
    <s v="MBUIATE"/>
    <x v="0"/>
    <s v="Projeto executivo"/>
    <n v="0.4"/>
    <x v="12"/>
    <x v="6"/>
    <x v="25"/>
    <x v="12"/>
    <n v="36000"/>
    <s v="A fazer"/>
    <m/>
    <m/>
  </r>
  <r>
    <s v="MED035"/>
    <s v="CT006"/>
    <s v="MBUIATE"/>
    <x v="1"/>
    <s v="Entrada"/>
    <n v="0.15"/>
    <x v="0"/>
    <x v="13"/>
    <x v="24"/>
    <x v="4"/>
    <n v="15000"/>
    <s v="Pago"/>
    <m/>
    <m/>
  </r>
  <r>
    <s v="MED036"/>
    <s v="CT006"/>
    <s v="MBUIATE"/>
    <x v="1"/>
    <s v="Projeto preliminar"/>
    <n v="0.2"/>
    <x v="3"/>
    <x v="6"/>
    <x v="11"/>
    <x v="6"/>
    <n v="20000"/>
    <s v="A medir"/>
    <m/>
    <m/>
  </r>
  <r>
    <s v="MED037"/>
    <s v="CT006"/>
    <s v="MBUIATE"/>
    <x v="1"/>
    <s v="Projeto pré-executivo"/>
    <n v="0.2"/>
    <x v="13"/>
    <x v="6"/>
    <x v="26"/>
    <x v="11"/>
    <n v="20000"/>
    <s v="A medir"/>
    <m/>
    <m/>
  </r>
  <r>
    <s v="MED038"/>
    <s v="CT006"/>
    <s v="MBUIATE"/>
    <x v="1"/>
    <s v="Projeto executivo"/>
    <n v="0.45"/>
    <x v="12"/>
    <x v="6"/>
    <x v="25"/>
    <x v="12"/>
    <n v="45000"/>
    <s v="A medir"/>
    <m/>
    <m/>
  </r>
  <r>
    <s v="MED039"/>
    <s v="CT007"/>
    <s v="MBUIATE"/>
    <x v="2"/>
    <s v="Entrada"/>
    <n v="0.15"/>
    <x v="0"/>
    <x v="13"/>
    <x v="24"/>
    <x v="4"/>
    <n v="31500"/>
    <s v="Pago"/>
    <m/>
    <m/>
  </r>
  <r>
    <s v="MED040"/>
    <s v="CT007"/>
    <s v="MBUIATE"/>
    <x v="2"/>
    <s v="Projeto preliminar"/>
    <n v="0.2"/>
    <x v="5"/>
    <x v="6"/>
    <x v="13"/>
    <x v="10"/>
    <n v="42000"/>
    <s v="A medir"/>
    <m/>
    <m/>
  </r>
  <r>
    <s v="MED041"/>
    <s v="CT007"/>
    <s v="MBUIATE"/>
    <x v="2"/>
    <s v="Projeto pré-executivo"/>
    <n v="0.2"/>
    <x v="12"/>
    <x v="6"/>
    <x v="25"/>
    <x v="12"/>
    <n v="42000"/>
    <s v="A medir"/>
    <m/>
    <m/>
  </r>
  <r>
    <s v="MED042"/>
    <s v="CT007"/>
    <s v="MBUIATE"/>
    <x v="2"/>
    <s v="Projeto executivo"/>
    <n v="0.45"/>
    <x v="14"/>
    <x v="6"/>
    <x v="27"/>
    <x v="3"/>
    <n v="94500"/>
    <s v="A medir"/>
    <m/>
    <m/>
  </r>
  <r>
    <s v="MED043"/>
    <s v="CT008"/>
    <s v="DALTON"/>
    <x v="4"/>
    <s v="Assessoria PL parte 1"/>
    <n v="0.10258620689655172"/>
    <x v="0"/>
    <x v="14"/>
    <x v="28"/>
    <x v="4"/>
    <n v="2975"/>
    <s v="Pago"/>
    <m/>
    <m/>
  </r>
  <r>
    <s v="MED044"/>
    <s v="CT008"/>
    <s v="DALTON"/>
    <x v="4"/>
    <s v="Assessoria PL parte 2"/>
    <n v="0.10258620689655172"/>
    <x v="15"/>
    <x v="6"/>
    <x v="29"/>
    <x v="6"/>
    <n v="2975"/>
    <s v="A medir"/>
    <m/>
    <m/>
  </r>
  <r>
    <s v="MED045"/>
    <s v="CT008"/>
    <s v="DALTON"/>
    <x v="4"/>
    <s v="Estudo preliminar"/>
    <n v="0.12974137931034482"/>
    <x v="0"/>
    <x v="15"/>
    <x v="30"/>
    <x v="8"/>
    <n v="3762.5"/>
    <s v="Medido"/>
    <m/>
    <m/>
  </r>
  <r>
    <s v="MED046"/>
    <s v="CT008"/>
    <s v="DALTON"/>
    <x v="4"/>
    <s v="Anteprojeto"/>
    <n v="0.12974137931034482"/>
    <x v="16"/>
    <x v="6"/>
    <x v="31"/>
    <x v="5"/>
    <n v="3762.5"/>
    <s v="A medir"/>
    <m/>
    <m/>
  </r>
  <r>
    <s v="MED047"/>
    <s v="CT008"/>
    <s v="DALTON"/>
    <x v="4"/>
    <s v="Executivo 1"/>
    <n v="0.12974137931034482"/>
    <x v="17"/>
    <x v="6"/>
    <x v="32"/>
    <x v="6"/>
    <n v="3762.5"/>
    <s v="A medir"/>
    <m/>
    <m/>
  </r>
  <r>
    <s v="MED048"/>
    <s v="CT008"/>
    <s v="DALTON"/>
    <x v="4"/>
    <s v="Executivo 2"/>
    <n v="0.12974137931034482"/>
    <x v="18"/>
    <x v="6"/>
    <x v="33"/>
    <x v="9"/>
    <n v="3762.5"/>
    <s v="A medir"/>
    <m/>
    <m/>
  </r>
  <r>
    <s v="MED049"/>
    <s v="CT008"/>
    <s v="DALTON"/>
    <x v="4"/>
    <s v="Fachada EP"/>
    <n v="9.1954022988505746E-2"/>
    <x v="0"/>
    <x v="15"/>
    <x v="30"/>
    <x v="8"/>
    <n v="2666.6666666666665"/>
    <s v="Medido"/>
    <m/>
    <m/>
  </r>
  <r>
    <s v="MED050"/>
    <s v="CT008"/>
    <s v="DALTON"/>
    <x v="4"/>
    <s v="Fachada AP"/>
    <n v="9.1954022988505746E-2"/>
    <x v="16"/>
    <x v="6"/>
    <x v="31"/>
    <x v="5"/>
    <n v="2666.6666666666665"/>
    <s v="A medir"/>
    <m/>
    <m/>
  </r>
  <r>
    <s v="MED051"/>
    <s v="CT008"/>
    <s v="DALTON"/>
    <x v="4"/>
    <s v="Fachada EX"/>
    <n v="9.1954022988505746E-2"/>
    <x v="17"/>
    <x v="6"/>
    <x v="32"/>
    <x v="6"/>
    <n v="2666.6666666666665"/>
    <s v="A medir"/>
    <m/>
    <m/>
  </r>
  <r>
    <s v="MED052"/>
    <s v="CT009"/>
    <s v="DALTON"/>
    <x v="1"/>
    <s v="Estudo preliminar"/>
    <n v="0.2"/>
    <x v="0"/>
    <x v="14"/>
    <x v="28"/>
    <x v="4"/>
    <n v="14000"/>
    <s v="Pago"/>
    <m/>
    <m/>
  </r>
  <r>
    <s v="MED053"/>
    <s v="CT009"/>
    <s v="DALTON"/>
    <x v="1"/>
    <s v="Anteprojeto"/>
    <n v="0.2"/>
    <x v="19"/>
    <x v="6"/>
    <x v="34"/>
    <x v="5"/>
    <n v="14000"/>
    <s v="A medir"/>
    <m/>
    <m/>
  </r>
  <r>
    <s v="MED054"/>
    <s v="CT009"/>
    <s v="DALTON"/>
    <x v="1"/>
    <s v="Projeto básico"/>
    <n v="0.2"/>
    <x v="20"/>
    <x v="6"/>
    <x v="35"/>
    <x v="9"/>
    <n v="14000"/>
    <s v="A medir"/>
    <m/>
    <m/>
  </r>
  <r>
    <s v="MED055"/>
    <s v="CT009"/>
    <s v="DALTON"/>
    <x v="1"/>
    <s v="Executivo 1"/>
    <n v="0.2"/>
    <x v="21"/>
    <x v="6"/>
    <x v="36"/>
    <x v="10"/>
    <n v="14000"/>
    <s v="A medir"/>
    <m/>
    <m/>
  </r>
  <r>
    <s v="MED056"/>
    <s v="CT009"/>
    <s v="DALTON"/>
    <x v="1"/>
    <s v="Executivo 2"/>
    <n v="0.2"/>
    <x v="22"/>
    <x v="6"/>
    <x v="37"/>
    <x v="11"/>
    <n v="14000"/>
    <s v="A medir"/>
    <m/>
    <m/>
  </r>
  <r>
    <s v="MED057"/>
    <s v="CT010"/>
    <s v="KARINA"/>
    <x v="0"/>
    <s v="Entrada"/>
    <n v="0.17468354430379746"/>
    <x v="0"/>
    <x v="16"/>
    <x v="38"/>
    <x v="4"/>
    <n v="6899.9999999999991"/>
    <s v="Pago"/>
    <m/>
    <m/>
  </r>
  <r>
    <s v="MED058"/>
    <s v="CT010"/>
    <s v="KARINA"/>
    <x v="0"/>
    <s v="Projeto preliminar"/>
    <n v="0.34936708860759491"/>
    <x v="0"/>
    <x v="16"/>
    <x v="38"/>
    <x v="4"/>
    <n v="13799.999999999998"/>
    <s v="Pago"/>
    <m/>
    <m/>
  </r>
  <r>
    <s v="MED059"/>
    <s v="CT010"/>
    <s v="KARINA"/>
    <x v="0"/>
    <s v="Projeto pré-executivo"/>
    <n v="0.17468354430379746"/>
    <x v="23"/>
    <x v="6"/>
    <x v="39"/>
    <x v="5"/>
    <n v="6899.9999999999991"/>
    <s v="A medir"/>
    <m/>
    <m/>
  </r>
  <r>
    <s v="MED060"/>
    <s v="CT010"/>
    <s v="KARINA"/>
    <x v="0"/>
    <s v="Projeto executivo"/>
    <n v="0.17468354430379746"/>
    <x v="24"/>
    <x v="6"/>
    <x v="40"/>
    <x v="9"/>
    <n v="6899.9999999999991"/>
    <s v="A medir"/>
    <m/>
    <m/>
  </r>
  <r>
    <s v="MED061"/>
    <s v="CT010"/>
    <s v="KARINA"/>
    <x v="0"/>
    <s v="Aditivo pós PL"/>
    <n v="0.12658227848101267"/>
    <x v="25"/>
    <x v="6"/>
    <x v="41"/>
    <x v="11"/>
    <n v="5000"/>
    <s v="A medir"/>
    <m/>
    <m/>
  </r>
  <r>
    <s v="MED062"/>
    <s v="CT011"/>
    <s v="GEOMETA"/>
    <x v="0"/>
    <s v="Sondagem"/>
    <n v="1"/>
    <x v="0"/>
    <x v="17"/>
    <x v="42"/>
    <x v="4"/>
    <n v="17500.650000000001"/>
    <s v="Pago"/>
    <m/>
    <m/>
  </r>
  <r>
    <s v="MED063"/>
    <s v="CT012"/>
    <s v="GEOMETA"/>
    <x v="1"/>
    <s v="Sondagem"/>
    <n v="1"/>
    <x v="0"/>
    <x v="18"/>
    <x v="43"/>
    <x v="8"/>
    <n v="25313.279999999999"/>
    <s v="Pago"/>
    <m/>
    <m/>
  </r>
  <r>
    <s v="MED064"/>
    <s v="CT013"/>
    <s v="GEOMETA"/>
    <x v="2"/>
    <s v="Sondagem"/>
    <n v="1"/>
    <x v="0"/>
    <x v="19"/>
    <x v="44"/>
    <x v="8"/>
    <n v="23556.1"/>
    <s v="Medido"/>
    <m/>
    <m/>
  </r>
  <r>
    <s v="MED065"/>
    <s v="CT014"/>
    <s v="VANIA"/>
    <x v="0"/>
    <s v="Pipa para sondagem"/>
    <n v="1"/>
    <x v="0"/>
    <x v="17"/>
    <x v="42"/>
    <x v="4"/>
    <n v="1800"/>
    <s v="Pago"/>
    <m/>
    <m/>
  </r>
  <r>
    <s v="MED066"/>
    <s v="CT015"/>
    <s v="VANIA"/>
    <x v="1"/>
    <s v="Pipa para sondagem"/>
    <n v="1"/>
    <x v="0"/>
    <x v="13"/>
    <x v="24"/>
    <x v="4"/>
    <n v="3600"/>
    <s v="Pago"/>
    <m/>
    <m/>
  </r>
  <r>
    <s v="MED067"/>
    <s v="CT016"/>
    <s v="JP SERVIÇOS"/>
    <x v="0"/>
    <s v="Vigia para sondagem"/>
    <n v="1"/>
    <x v="0"/>
    <x v="20"/>
    <x v="45"/>
    <x v="16"/>
    <n v="2580"/>
    <s v="Pago"/>
    <m/>
    <m/>
  </r>
  <r>
    <s v="MED068"/>
    <s v="CT017"/>
    <s v="JP SERVIÇOS"/>
    <x v="1"/>
    <s v="Vigia para sondagem"/>
    <n v="1"/>
    <x v="0"/>
    <x v="21"/>
    <x v="46"/>
    <x v="4"/>
    <n v="3640"/>
    <s v="Pago"/>
    <m/>
    <m/>
  </r>
  <r>
    <s v="MED069"/>
    <s v="CT018"/>
    <s v="IDEAL"/>
    <x v="0"/>
    <s v="Levantamento + unificação"/>
    <n v="0.43956043956043955"/>
    <x v="0"/>
    <x v="22"/>
    <x v="47"/>
    <x v="17"/>
    <n v="2000"/>
    <s v="Pago"/>
    <m/>
    <m/>
  </r>
  <r>
    <s v="MED070"/>
    <s v="CT018"/>
    <s v="IDEAL"/>
    <x v="0"/>
    <s v="Levantamento + unificação"/>
    <n v="0.31868131868131866"/>
    <x v="0"/>
    <x v="22"/>
    <x v="47"/>
    <x v="17"/>
    <n v="1450"/>
    <s v="Pago"/>
    <m/>
    <m/>
  </r>
  <r>
    <s v="MED071"/>
    <s v="CT018"/>
    <s v="IDEAL"/>
    <x v="0"/>
    <s v="Levantamento + unificação"/>
    <n v="0.24175824175824176"/>
    <x v="0"/>
    <x v="23"/>
    <x v="48"/>
    <x v="0"/>
    <n v="1100"/>
    <s v="Pago"/>
    <m/>
    <m/>
  </r>
  <r>
    <s v="MED072"/>
    <s v="CT019"/>
    <s v="GEOMAP"/>
    <x v="1"/>
    <s v="Levantamento + unificação"/>
    <n v="1"/>
    <x v="0"/>
    <x v="24"/>
    <x v="49"/>
    <x v="2"/>
    <n v="2850"/>
    <s v="Pago"/>
    <m/>
    <m/>
  </r>
  <r>
    <s v="MED073"/>
    <s v="CT020"/>
    <s v="GEOMAP"/>
    <x v="2"/>
    <s v="Levantamento"/>
    <n v="1"/>
    <x v="0"/>
    <x v="24"/>
    <x v="49"/>
    <x v="2"/>
    <n v="1300"/>
    <s v="Pago"/>
    <m/>
    <m/>
  </r>
  <r>
    <s v="MED074"/>
    <s v="CT021"/>
    <s v="GEOMAP"/>
    <x v="4"/>
    <s v="Levantamento"/>
    <n v="1"/>
    <x v="0"/>
    <x v="24"/>
    <x v="49"/>
    <x v="2"/>
    <n v="1100"/>
    <s v="Pago"/>
    <m/>
    <m/>
  </r>
  <r>
    <s v="MED075"/>
    <s v="CT022"/>
    <s v="GEOMAP"/>
    <x v="5"/>
    <s v="Levantamento"/>
    <n v="1"/>
    <x v="23"/>
    <x v="6"/>
    <x v="39"/>
    <x v="5"/>
    <n v="2635"/>
    <s v="Em andamento"/>
    <m/>
    <m/>
  </r>
  <r>
    <s v="MED076"/>
    <s v="CT023"/>
    <s v="GEOMAP"/>
    <x v="6"/>
    <s v="Levantamento"/>
    <n v="1"/>
    <x v="26"/>
    <x v="6"/>
    <x v="50"/>
    <x v="6"/>
    <n v="1800"/>
    <s v="Em andamento"/>
    <m/>
    <m/>
  </r>
  <r>
    <s v="MED077"/>
    <s v="CT024"/>
    <s v="GÊMEAS"/>
    <x v="4"/>
    <s v="Desenvolvimento PL"/>
    <n v="0.5"/>
    <x v="0"/>
    <x v="25"/>
    <x v="51"/>
    <x v="2"/>
    <n v="20000"/>
    <s v="Pago"/>
    <m/>
    <m/>
  </r>
  <r>
    <s v="MED078"/>
    <s v="CT024"/>
    <s v="GÊMEAS"/>
    <x v="4"/>
    <s v="Acompanhamento PMU e Habite-se"/>
    <n v="0.5"/>
    <x v="26"/>
    <x v="6"/>
    <x v="50"/>
    <x v="6"/>
    <n v="20000"/>
    <s v="Em andamento"/>
    <m/>
    <m/>
  </r>
  <r>
    <s v="MED079"/>
    <s v="CT025"/>
    <s v="EMMIG"/>
    <x v="4"/>
    <s v="Anteprojeto"/>
    <n v="0.5"/>
    <x v="0"/>
    <x v="26"/>
    <x v="52"/>
    <x v="12"/>
    <n v="6500"/>
    <s v="Pago"/>
    <m/>
    <m/>
  </r>
  <r>
    <s v="MED080"/>
    <s v="CT025"/>
    <s v="EMMIG"/>
    <x v="4"/>
    <s v="Executivo"/>
    <n v="0.5"/>
    <x v="24"/>
    <x v="6"/>
    <x v="40"/>
    <x v="9"/>
    <n v="6500"/>
    <s v="Em andamento"/>
    <m/>
    <m/>
  </r>
  <r>
    <s v="MED081"/>
    <s v="CT026"/>
    <s v="GEOMETRIA"/>
    <x v="0"/>
    <s v="Anteprojeto"/>
    <n v="0.5"/>
    <x v="24"/>
    <x v="6"/>
    <x v="40"/>
    <x v="9"/>
    <n v="12500"/>
    <s v="A fazer"/>
    <m/>
    <m/>
  </r>
  <r>
    <s v="MED082"/>
    <s v="CT026"/>
    <s v="GEOMETRIA"/>
    <x v="0"/>
    <s v="Executivo"/>
    <n v="0.5"/>
    <x v="27"/>
    <x v="6"/>
    <x v="53"/>
    <x v="12"/>
    <n v="12500"/>
    <s v="A fazer"/>
    <m/>
    <m/>
  </r>
  <r>
    <s v="MED083"/>
    <s v="CT028"/>
    <s v="GEOMETRIA"/>
    <x v="2"/>
    <s v="Anteprojeto"/>
    <n v="0.5"/>
    <x v="25"/>
    <x v="6"/>
    <x v="41"/>
    <x v="11"/>
    <n v="15000"/>
    <s v="A fazer"/>
    <m/>
    <m/>
  </r>
  <r>
    <s v="MED084"/>
    <s v="CT028"/>
    <s v="GEOMETRIA"/>
    <x v="2"/>
    <s v="Executivo"/>
    <n v="0.5"/>
    <x v="28"/>
    <x v="6"/>
    <x v="54"/>
    <x v="18"/>
    <n v="15000"/>
    <s v="A fazer"/>
    <m/>
    <m/>
  </r>
  <r>
    <s v="MED085"/>
    <s v="CT029"/>
    <s v="GEOMETRIA"/>
    <x v="4"/>
    <s v="Anteprojeto"/>
    <n v="0.5"/>
    <x v="24"/>
    <x v="6"/>
    <x v="40"/>
    <x v="9"/>
    <n v="5000"/>
    <s v="A fazer"/>
    <m/>
    <m/>
  </r>
  <r>
    <s v="MED086"/>
    <s v="CT029"/>
    <s v="GEOMETRIA"/>
    <x v="4"/>
    <s v="Executivo"/>
    <n v="0.5"/>
    <x v="27"/>
    <x v="6"/>
    <x v="53"/>
    <x v="12"/>
    <n v="5000"/>
    <s v="A fazer"/>
    <m/>
    <m/>
  </r>
  <r>
    <s v="MED087"/>
    <s v="CT030"/>
    <s v="VERTICAL"/>
    <x v="0"/>
    <s v="Anteprojeto + Executivo"/>
    <n v="1"/>
    <x v="0"/>
    <x v="27"/>
    <x v="55"/>
    <x v="19"/>
    <n v="9000"/>
    <s v="Pago"/>
    <m/>
    <m/>
  </r>
  <r>
    <s v="MED088"/>
    <s v="CT031"/>
    <s v="VERTICAL"/>
    <x v="1"/>
    <s v="Anteprojeto"/>
    <n v="0.29022623677756582"/>
    <x v="0"/>
    <x v="28"/>
    <x v="56"/>
    <x v="16"/>
    <n v="1874.49"/>
    <s v="Pago"/>
    <m/>
    <m/>
  </r>
  <r>
    <s v="MED089"/>
    <s v="CT031"/>
    <s v="VERTICAL"/>
    <x v="1"/>
    <s v="Executivo"/>
    <n v="0.70977376322243424"/>
    <x v="4"/>
    <x v="6"/>
    <x v="12"/>
    <x v="9"/>
    <n v="4584.2300000000005"/>
    <s v="Em andamento"/>
    <m/>
    <m/>
  </r>
  <r>
    <s v="MED090"/>
    <s v="CT032"/>
    <s v="VERTICAL"/>
    <x v="2"/>
    <s v="Anteprojeto"/>
    <n v="0.29018887600488724"/>
    <x v="0"/>
    <x v="28"/>
    <x v="56"/>
    <x v="16"/>
    <n v="3728.8399999999997"/>
    <s v="Pago"/>
    <m/>
    <m/>
  </r>
  <r>
    <s v="MED091"/>
    <s v="CT032"/>
    <s v="VERTICAL"/>
    <x v="2"/>
    <s v="Executivo"/>
    <n v="0.7098111239951127"/>
    <x v="4"/>
    <x v="6"/>
    <x v="12"/>
    <x v="9"/>
    <n v="9120.86"/>
    <s v="Em andamento"/>
    <m/>
    <m/>
  </r>
  <r>
    <s v="MED092"/>
    <s v="CT033"/>
    <s v="VERTICAL"/>
    <x v="3"/>
    <s v="Anteprojeto"/>
    <n v="0.29021303130414972"/>
    <x v="0"/>
    <x v="28"/>
    <x v="56"/>
    <x v="16"/>
    <n v="2420.13"/>
    <s v="Pago"/>
    <m/>
    <m/>
  </r>
  <r>
    <s v="MED093"/>
    <s v="CT033"/>
    <s v="VERTICAL"/>
    <x v="3"/>
    <s v="Executivo"/>
    <n v="0.70978696869585023"/>
    <x v="4"/>
    <x v="6"/>
    <x v="12"/>
    <x v="9"/>
    <n v="5919.0199999999995"/>
    <s v="Em andamento"/>
    <m/>
    <m/>
  </r>
  <r>
    <s v="MED094"/>
    <s v="CT034"/>
    <s v="VERTICAL"/>
    <x v="4"/>
    <s v="Anteprojeto"/>
    <n v="0.29021420309861501"/>
    <x v="0"/>
    <x v="28"/>
    <x v="56"/>
    <x v="16"/>
    <n v="2476.54"/>
    <s v="Pago"/>
    <m/>
    <m/>
  </r>
  <r>
    <s v="MED095"/>
    <s v="CT034"/>
    <s v="VERTICAL"/>
    <x v="4"/>
    <s v="Executivo"/>
    <n v="0.70978579690138499"/>
    <x v="4"/>
    <x v="6"/>
    <x v="12"/>
    <x v="9"/>
    <n v="6056.95"/>
    <s v="Em andamento"/>
    <m/>
    <m/>
  </r>
  <r>
    <s v="MED096"/>
    <s v="CT035"/>
    <s v="BINV"/>
    <x v="0"/>
    <s v="Entrada"/>
    <n v="0.1"/>
    <x v="0"/>
    <x v="24"/>
    <x v="49"/>
    <x v="2"/>
    <n v="15000"/>
    <s v="Pago"/>
    <m/>
    <m/>
  </r>
  <r>
    <s v="MED097"/>
    <s v="CT035"/>
    <s v="BINV"/>
    <x v="0"/>
    <s v="Estudo preliminar"/>
    <n v="0.2"/>
    <x v="0"/>
    <x v="24"/>
    <x v="49"/>
    <x v="2"/>
    <n v="30000"/>
    <s v="Pago"/>
    <m/>
    <m/>
  </r>
  <r>
    <s v="MED098"/>
    <s v="CT035"/>
    <s v="BINV"/>
    <x v="0"/>
    <s v="Anteprojeto"/>
    <n v="0.1"/>
    <x v="0"/>
    <x v="29"/>
    <x v="57"/>
    <x v="16"/>
    <n v="15000"/>
    <s v="Pago"/>
    <m/>
    <m/>
  </r>
  <r>
    <s v="MED099"/>
    <s v="CT035"/>
    <s v="BINV"/>
    <x v="0"/>
    <s v="Executivo"/>
    <n v="4.6666666666666669E-2"/>
    <x v="0"/>
    <x v="30"/>
    <x v="58"/>
    <x v="4"/>
    <n v="7000"/>
    <s v="Pago"/>
    <m/>
    <m/>
  </r>
  <r>
    <s v="MED100"/>
    <s v="CT035"/>
    <s v="BINV"/>
    <x v="0"/>
    <s v="Distrato"/>
    <n v="0.55330000000000001"/>
    <x v="0"/>
    <x v="6"/>
    <x v="22"/>
    <x v="14"/>
    <n v="82995"/>
    <s v="Cancelada"/>
    <m/>
    <m/>
  </r>
  <r>
    <s v="MED101"/>
    <s v="CT036"/>
    <s v="BINV"/>
    <x v="4"/>
    <s v="Entrada"/>
    <n v="0.1"/>
    <x v="0"/>
    <x v="24"/>
    <x v="49"/>
    <x v="2"/>
    <n v="6545"/>
    <s v="Pago"/>
    <m/>
    <m/>
  </r>
  <r>
    <s v="MED102"/>
    <s v="CT036"/>
    <s v="BINV"/>
    <x v="4"/>
    <s v="Estudo preliminar"/>
    <n v="0.2"/>
    <x v="0"/>
    <x v="31"/>
    <x v="59"/>
    <x v="7"/>
    <n v="13090"/>
    <s v="Pago"/>
    <m/>
    <m/>
  </r>
  <r>
    <s v="MED103"/>
    <s v="CT036"/>
    <s v="BINV"/>
    <x v="4"/>
    <s v="Anteprojeto"/>
    <n v="0.1"/>
    <x v="0"/>
    <x v="29"/>
    <x v="57"/>
    <x v="16"/>
    <n v="6545"/>
    <s v="Pago"/>
    <m/>
    <m/>
  </r>
  <r>
    <s v="MED104"/>
    <s v="CT036"/>
    <s v="BINV"/>
    <x v="4"/>
    <s v="Executivo"/>
    <n v="0.10695187165775401"/>
    <x v="0"/>
    <x v="30"/>
    <x v="58"/>
    <x v="4"/>
    <n v="7000"/>
    <s v="Pago"/>
    <m/>
    <m/>
  </r>
  <r>
    <s v="MED105"/>
    <s v="CT036"/>
    <s v="BINV"/>
    <x v="4"/>
    <s v="Distrato"/>
    <n v="0.49299999999999999"/>
    <x v="0"/>
    <x v="6"/>
    <x v="22"/>
    <x v="14"/>
    <n v="32266.85"/>
    <s v="Cancelada"/>
    <m/>
    <m/>
  </r>
  <r>
    <s v="MED106"/>
    <s v="CT037"/>
    <s v="BINV"/>
    <x v="7"/>
    <s v="Entrada"/>
    <n v="0.1"/>
    <x v="0"/>
    <x v="24"/>
    <x v="49"/>
    <x v="2"/>
    <n v="2000"/>
    <s v="Pago"/>
    <m/>
    <m/>
  </r>
  <r>
    <s v="MED107"/>
    <s v="CT037"/>
    <s v="BINV"/>
    <x v="7"/>
    <s v="Estudo preliminar"/>
    <n v="0.2"/>
    <x v="0"/>
    <x v="31"/>
    <x v="59"/>
    <x v="7"/>
    <n v="4000"/>
    <s v="Pago"/>
    <m/>
    <m/>
  </r>
  <r>
    <s v="MED108"/>
    <s v="CT037"/>
    <s v="BINV"/>
    <x v="7"/>
    <s v="Anteprojeto"/>
    <n v="0.1"/>
    <x v="0"/>
    <x v="29"/>
    <x v="57"/>
    <x v="16"/>
    <n v="2000"/>
    <s v="Pago"/>
    <m/>
    <m/>
  </r>
  <r>
    <s v="MED109"/>
    <s v="CT037"/>
    <s v="BINV"/>
    <x v="7"/>
    <s v="Executivo"/>
    <n v="0.2"/>
    <x v="0"/>
    <x v="29"/>
    <x v="57"/>
    <x v="16"/>
    <n v="4000"/>
    <s v="Pago"/>
    <m/>
    <m/>
  </r>
  <r>
    <s v="MED110"/>
    <s v="CT037"/>
    <s v="BINV"/>
    <x v="7"/>
    <s v="Distrato"/>
    <n v="0.4"/>
    <x v="0"/>
    <x v="6"/>
    <x v="22"/>
    <x v="14"/>
    <n v="8000"/>
    <s v="Cancelada"/>
    <m/>
    <m/>
  </r>
  <r>
    <s v="MED111"/>
    <s v="CT039"/>
    <s v="ARCIS"/>
    <x v="0"/>
    <s v="Entrada"/>
    <n v="0.1"/>
    <x v="0"/>
    <x v="5"/>
    <x v="5"/>
    <x v="5"/>
    <n v="14000"/>
    <s v="Medido"/>
    <m/>
    <m/>
  </r>
  <r>
    <s v="MED112"/>
    <s v="CT039"/>
    <s v="ARCIS"/>
    <x v="0"/>
    <s v="Análise técnica"/>
    <n v="0.1"/>
    <x v="0"/>
    <x v="5"/>
    <x v="5"/>
    <x v="5"/>
    <n v="14000"/>
    <s v="Medido"/>
    <m/>
    <m/>
  </r>
  <r>
    <s v="MED113"/>
    <s v="CT039"/>
    <s v="ARCIS"/>
    <x v="0"/>
    <s v="Estudo preliminar"/>
    <n v="0.1"/>
    <x v="0"/>
    <x v="5"/>
    <x v="5"/>
    <x v="5"/>
    <n v="14000"/>
    <s v="Medido"/>
    <m/>
    <m/>
  </r>
  <r>
    <s v="MED114"/>
    <s v="CT039"/>
    <s v="ARCIS"/>
    <x v="0"/>
    <s v="Anteprojeto"/>
    <n v="0.2"/>
    <x v="29"/>
    <x v="6"/>
    <x v="60"/>
    <x v="6"/>
    <n v="28000"/>
    <s v="Em andamento"/>
    <m/>
    <m/>
  </r>
  <r>
    <s v="MED115"/>
    <s v="CT039"/>
    <s v="ARCIS"/>
    <x v="0"/>
    <s v="Pré-executivo"/>
    <n v="0.2"/>
    <x v="30"/>
    <x v="6"/>
    <x v="61"/>
    <x v="9"/>
    <n v="28000"/>
    <s v="A fazer"/>
    <m/>
    <m/>
  </r>
  <r>
    <s v="MED116"/>
    <s v="CT039"/>
    <s v="ARCIS"/>
    <x v="0"/>
    <s v="Executivo"/>
    <n v="0.15"/>
    <x v="31"/>
    <x v="6"/>
    <x v="62"/>
    <x v="10"/>
    <n v="21000"/>
    <s v="A fazer"/>
    <m/>
    <m/>
  </r>
  <r>
    <s v="MED117"/>
    <s v="CT039"/>
    <s v="ARCIS"/>
    <x v="0"/>
    <s v="Comp ARQxEST"/>
    <n v="0.05"/>
    <x v="32"/>
    <x v="6"/>
    <x v="63"/>
    <x v="11"/>
    <n v="7000"/>
    <s v="A fazer"/>
    <m/>
    <m/>
  </r>
  <r>
    <s v="MED118"/>
    <s v="CT039"/>
    <s v="ARCIS"/>
    <x v="0"/>
    <s v="1ª Comp geral"/>
    <n v="0.05"/>
    <x v="33"/>
    <x v="6"/>
    <x v="64"/>
    <x v="20"/>
    <n v="7000"/>
    <s v="A fazer"/>
    <m/>
    <m/>
  </r>
  <r>
    <s v="MED119"/>
    <s v="CT039"/>
    <s v="ARCIS"/>
    <x v="0"/>
    <s v="2ª Comp geral"/>
    <n v="0.05"/>
    <x v="34"/>
    <x v="6"/>
    <x v="65"/>
    <x v="21"/>
    <n v="7000"/>
    <s v="A fazer"/>
    <m/>
    <m/>
  </r>
  <r>
    <s v="MED120"/>
    <s v="CT040"/>
    <s v="ARCIS"/>
    <x v="1"/>
    <s v="Entrada"/>
    <n v="0.1"/>
    <x v="0"/>
    <x v="32"/>
    <x v="66"/>
    <x v="8"/>
    <n v="12980"/>
    <s v="Medido"/>
    <m/>
    <m/>
  </r>
  <r>
    <s v="MED121"/>
    <s v="CT040"/>
    <s v="ARCIS"/>
    <x v="1"/>
    <s v="Análise técnica"/>
    <n v="0.1"/>
    <x v="0"/>
    <x v="32"/>
    <x v="66"/>
    <x v="8"/>
    <n v="12980"/>
    <s v="Medido"/>
    <m/>
    <m/>
  </r>
  <r>
    <s v="MED122"/>
    <s v="CT040"/>
    <s v="ARCIS"/>
    <x v="1"/>
    <s v="Estudo preliminar"/>
    <n v="0.1"/>
    <x v="0"/>
    <x v="32"/>
    <x v="66"/>
    <x v="8"/>
    <n v="12980"/>
    <s v="Medido"/>
    <m/>
    <m/>
  </r>
  <r>
    <s v="MED123"/>
    <s v="CT040"/>
    <s v="ARCIS"/>
    <x v="1"/>
    <s v="Anteprojeto"/>
    <n v="0.2"/>
    <x v="29"/>
    <x v="6"/>
    <x v="60"/>
    <x v="6"/>
    <n v="25960"/>
    <s v="Em andamento"/>
    <m/>
    <m/>
  </r>
  <r>
    <s v="MED124"/>
    <s v="CT040"/>
    <s v="ARCIS"/>
    <x v="1"/>
    <s v="Pré-executivo"/>
    <n v="0.2"/>
    <x v="30"/>
    <x v="6"/>
    <x v="61"/>
    <x v="9"/>
    <n v="25960"/>
    <s v="A fazer"/>
    <m/>
    <m/>
  </r>
  <r>
    <s v="MED125"/>
    <s v="CT040"/>
    <s v="ARCIS"/>
    <x v="1"/>
    <s v="Executivo"/>
    <n v="0.15"/>
    <x v="31"/>
    <x v="6"/>
    <x v="62"/>
    <x v="10"/>
    <n v="19470"/>
    <s v="A fazer"/>
    <m/>
    <m/>
  </r>
  <r>
    <s v="MED126"/>
    <s v="CT040"/>
    <s v="ARCIS"/>
    <x v="1"/>
    <s v="Comp ARQxEST"/>
    <n v="0.05"/>
    <x v="32"/>
    <x v="6"/>
    <x v="63"/>
    <x v="11"/>
    <n v="6490"/>
    <s v="A fazer"/>
    <m/>
    <m/>
  </r>
  <r>
    <s v="MED127"/>
    <s v="CT040"/>
    <s v="ARCIS"/>
    <x v="1"/>
    <s v="1ª Comp geral"/>
    <n v="0.05"/>
    <x v="33"/>
    <x v="6"/>
    <x v="64"/>
    <x v="20"/>
    <n v="6490"/>
    <s v="A fazer"/>
    <m/>
    <m/>
  </r>
  <r>
    <s v="MED128"/>
    <s v="CT041"/>
    <s v="ARCIS"/>
    <x v="4"/>
    <s v="2ª Comp geral"/>
    <n v="0.05"/>
    <x v="34"/>
    <x v="6"/>
    <x v="65"/>
    <x v="21"/>
    <n v="4295"/>
    <s v="A fazer"/>
    <m/>
    <m/>
  </r>
  <r>
    <s v="MED129"/>
    <s v="CT038"/>
    <s v="ARCIS"/>
    <x v="2"/>
    <s v="Entrada"/>
    <n v="0.1"/>
    <x v="0"/>
    <x v="5"/>
    <x v="5"/>
    <x v="5"/>
    <n v="17950"/>
    <s v="Medido"/>
    <m/>
    <m/>
  </r>
  <r>
    <s v="MED130"/>
    <s v="CT038"/>
    <s v="ARCIS"/>
    <x v="2"/>
    <s v="Análise técnica"/>
    <n v="0.1"/>
    <x v="0"/>
    <x v="5"/>
    <x v="5"/>
    <x v="5"/>
    <n v="17950"/>
    <s v="Medido"/>
    <m/>
    <m/>
  </r>
  <r>
    <s v="MED131"/>
    <s v="CT038"/>
    <s v="ARCIS"/>
    <x v="2"/>
    <s v="Estudo preliminar"/>
    <n v="0.1"/>
    <x v="0"/>
    <x v="5"/>
    <x v="5"/>
    <x v="5"/>
    <n v="17950"/>
    <s v="Medido"/>
    <m/>
    <m/>
  </r>
  <r>
    <s v="MED132"/>
    <s v="CT038"/>
    <s v="ARCIS"/>
    <x v="2"/>
    <s v="Anteprojeto"/>
    <n v="0.2"/>
    <x v="29"/>
    <x v="6"/>
    <x v="60"/>
    <x v="6"/>
    <n v="35900"/>
    <s v="Em andamento"/>
    <m/>
    <m/>
  </r>
  <r>
    <s v="MED133"/>
    <s v="CT038"/>
    <s v="ARCIS"/>
    <x v="2"/>
    <s v="Pré-executivo"/>
    <n v="0.2"/>
    <x v="30"/>
    <x v="6"/>
    <x v="61"/>
    <x v="9"/>
    <n v="35900"/>
    <s v="A fazer"/>
    <m/>
    <m/>
  </r>
  <r>
    <s v="MED134"/>
    <s v="CT038"/>
    <s v="ARCIS"/>
    <x v="2"/>
    <s v="Executivo"/>
    <n v="0.15"/>
    <x v="31"/>
    <x v="6"/>
    <x v="62"/>
    <x v="10"/>
    <n v="26925"/>
    <s v="A fazer"/>
    <m/>
    <m/>
  </r>
  <r>
    <s v="MED135"/>
    <s v="CT038"/>
    <s v="ARCIS"/>
    <x v="2"/>
    <s v="Comp ARQxEST"/>
    <n v="0.05"/>
    <x v="32"/>
    <x v="6"/>
    <x v="63"/>
    <x v="11"/>
    <n v="8975"/>
    <s v="A fazer"/>
    <m/>
    <m/>
  </r>
  <r>
    <s v="MED136"/>
    <s v="CT038"/>
    <s v="ARCIS"/>
    <x v="2"/>
    <s v="1ª Comp geral"/>
    <n v="0.05"/>
    <x v="33"/>
    <x v="6"/>
    <x v="64"/>
    <x v="20"/>
    <n v="8975"/>
    <s v="A fazer"/>
    <m/>
    <m/>
  </r>
  <r>
    <s v="MED137"/>
    <s v="CT038"/>
    <s v="ARCIS"/>
    <x v="2"/>
    <s v="2ª Comp geral"/>
    <n v="0.05"/>
    <x v="34"/>
    <x v="6"/>
    <x v="65"/>
    <x v="21"/>
    <n v="8975"/>
    <s v="A fazer"/>
    <m/>
    <m/>
  </r>
  <r>
    <s v="MED138"/>
    <s v="CT041"/>
    <s v="ARCIS"/>
    <x v="4"/>
    <s v="Entrada"/>
    <n v="0.1"/>
    <x v="0"/>
    <x v="5"/>
    <x v="5"/>
    <x v="5"/>
    <n v="8590"/>
    <s v="Medido"/>
    <m/>
    <m/>
  </r>
  <r>
    <s v="MED139"/>
    <s v="CT041"/>
    <s v="ARCIS"/>
    <x v="4"/>
    <s v="Análise técnica"/>
    <n v="0.1"/>
    <x v="0"/>
    <x v="5"/>
    <x v="5"/>
    <x v="5"/>
    <n v="8590"/>
    <s v="Medido"/>
    <m/>
    <m/>
  </r>
  <r>
    <s v="MED140"/>
    <s v="CT041"/>
    <s v="ARCIS"/>
    <x v="4"/>
    <s v="Estudo preliminar"/>
    <n v="0.1"/>
    <x v="0"/>
    <x v="5"/>
    <x v="5"/>
    <x v="5"/>
    <n v="8590"/>
    <s v="Medido"/>
    <m/>
    <m/>
  </r>
  <r>
    <s v="MED141"/>
    <s v="CT041"/>
    <s v="ARCIS"/>
    <x v="4"/>
    <s v="Anteprojeto"/>
    <n v="0.2"/>
    <x v="29"/>
    <x v="6"/>
    <x v="60"/>
    <x v="6"/>
    <n v="17180"/>
    <s v="Em andamento"/>
    <m/>
    <m/>
  </r>
  <r>
    <s v="MED142"/>
    <s v="CT041"/>
    <s v="ARCIS"/>
    <x v="4"/>
    <s v="Pré-executivo"/>
    <n v="0.2"/>
    <x v="30"/>
    <x v="6"/>
    <x v="61"/>
    <x v="9"/>
    <n v="17180"/>
    <s v="A fazer"/>
    <m/>
    <m/>
  </r>
  <r>
    <s v="MED143"/>
    <s v="CT041"/>
    <s v="ARCIS"/>
    <x v="4"/>
    <s v="Executivo"/>
    <n v="0.15"/>
    <x v="31"/>
    <x v="6"/>
    <x v="62"/>
    <x v="10"/>
    <n v="12885"/>
    <s v="A fazer"/>
    <m/>
    <m/>
  </r>
  <r>
    <s v="MED144"/>
    <s v="CT041"/>
    <s v="ARCIS"/>
    <x v="4"/>
    <s v="Comp ARQxEST"/>
    <n v="0.05"/>
    <x v="32"/>
    <x v="6"/>
    <x v="63"/>
    <x v="11"/>
    <n v="4295"/>
    <s v="A fazer"/>
    <m/>
    <m/>
  </r>
  <r>
    <s v="MED145"/>
    <s v="CT041"/>
    <s v="ARCIS"/>
    <x v="4"/>
    <s v="1ª Comp geral"/>
    <n v="0.05"/>
    <x v="33"/>
    <x v="6"/>
    <x v="64"/>
    <x v="20"/>
    <n v="4295"/>
    <s v="A fazer"/>
    <m/>
    <m/>
  </r>
  <r>
    <s v="MED146"/>
    <s v="CT041"/>
    <s v="ARCIS"/>
    <x v="4"/>
    <s v="2ª Comp geral"/>
    <n v="0.05"/>
    <x v="34"/>
    <x v="6"/>
    <x v="65"/>
    <x v="21"/>
    <n v="4295"/>
    <s v="A fazer"/>
    <m/>
    <m/>
  </r>
  <r>
    <s v="MED147"/>
    <s v="CT042"/>
    <s v="ARCIS"/>
    <x v="7"/>
    <s v="Entrada"/>
    <n v="0.44134078212290501"/>
    <x v="0"/>
    <x v="33"/>
    <x v="67"/>
    <x v="5"/>
    <n v="15800"/>
    <s v="Medido"/>
    <m/>
    <m/>
  </r>
  <r>
    <s v="MED148"/>
    <s v="CT042"/>
    <s v="ARCIS"/>
    <x v="7"/>
    <s v="Modelagem arq"/>
    <n v="0.09"/>
    <x v="35"/>
    <x v="6"/>
    <x v="68"/>
    <x v="6"/>
    <n v="3222"/>
    <s v="Em andamento"/>
    <m/>
    <m/>
  </r>
  <r>
    <s v="MED149"/>
    <s v="CT042"/>
    <s v="ARCIS"/>
    <x v="7"/>
    <s v="Modelagem terraplanagem"/>
    <n v="0.13966480446927373"/>
    <x v="30"/>
    <x v="6"/>
    <x v="61"/>
    <x v="9"/>
    <n v="5000"/>
    <s v="A fazer"/>
    <m/>
    <m/>
  </r>
  <r>
    <s v="MED150"/>
    <s v="CT042"/>
    <s v="ARCIS"/>
    <x v="7"/>
    <s v="Comp ARQxTER"/>
    <n v="0.13966480446927373"/>
    <x v="31"/>
    <x v="6"/>
    <x v="62"/>
    <x v="10"/>
    <n v="5000"/>
    <s v="A fazer"/>
    <m/>
    <m/>
  </r>
  <r>
    <s v="MED151"/>
    <s v="CT042"/>
    <s v="ARCIS"/>
    <x v="7"/>
    <s v="Comp geral - implantação"/>
    <n v="0.13966480446927373"/>
    <x v="32"/>
    <x v="6"/>
    <x v="63"/>
    <x v="11"/>
    <n v="5000"/>
    <s v="A fazer"/>
    <m/>
    <m/>
  </r>
  <r>
    <s v="MED152"/>
    <s v="CT043"/>
    <s v="DOMANI"/>
    <x v="0"/>
    <s v="Entrada"/>
    <n v="0.3"/>
    <x v="23"/>
    <x v="6"/>
    <x v="39"/>
    <x v="5"/>
    <n v="1500"/>
    <s v="A fazer"/>
    <m/>
    <m/>
  </r>
  <r>
    <s v="MED153"/>
    <s v="CT043"/>
    <s v="DOMANI"/>
    <x v="0"/>
    <s v="Entrega laudo"/>
    <n v="0.7"/>
    <x v="24"/>
    <x v="6"/>
    <x v="40"/>
    <x v="9"/>
    <n v="3500"/>
    <s v="A fazer"/>
    <m/>
    <m/>
  </r>
  <r>
    <s v="MED154"/>
    <s v="CT044"/>
    <s v="DOMANI"/>
    <x v="1"/>
    <s v="Entrada"/>
    <n v="0.3"/>
    <x v="23"/>
    <x v="6"/>
    <x v="39"/>
    <x v="5"/>
    <n v="1500"/>
    <s v="A fazer"/>
    <m/>
    <m/>
  </r>
  <r>
    <s v="MED155"/>
    <s v="CT044"/>
    <s v="DOMANI"/>
    <x v="1"/>
    <s v="Entrega laudo"/>
    <n v="0.7"/>
    <x v="24"/>
    <x v="6"/>
    <x v="40"/>
    <x v="9"/>
    <n v="3500"/>
    <s v="A fazer"/>
    <m/>
    <m/>
  </r>
  <r>
    <s v="MED156"/>
    <s v="CT045"/>
    <s v="DOMANI"/>
    <x v="2"/>
    <s v="Entrada"/>
    <n v="0.3"/>
    <x v="23"/>
    <x v="6"/>
    <x v="39"/>
    <x v="5"/>
    <n v="1500"/>
    <s v="A fazer"/>
    <m/>
    <m/>
  </r>
  <r>
    <s v="MED157"/>
    <s v="CT045"/>
    <s v="DOMANI"/>
    <x v="2"/>
    <s v="Entrega laudo"/>
    <n v="0.7"/>
    <x v="24"/>
    <x v="6"/>
    <x v="40"/>
    <x v="9"/>
    <n v="3500"/>
    <s v="A fazer"/>
    <m/>
    <m/>
  </r>
  <r>
    <s v="MED158"/>
    <s v="CT046"/>
    <s v="DOMANI"/>
    <x v="3"/>
    <s v="Entrada"/>
    <n v="0.3"/>
    <x v="0"/>
    <x v="6"/>
    <x v="22"/>
    <x v="14"/>
    <n v="1500"/>
    <s v="Cancelada"/>
    <m/>
    <m/>
  </r>
  <r>
    <s v="MED159"/>
    <s v="CT046"/>
    <s v="DOMANI"/>
    <x v="3"/>
    <s v="Entrega laudo"/>
    <n v="0.7"/>
    <x v="0"/>
    <x v="6"/>
    <x v="22"/>
    <x v="14"/>
    <n v="3500"/>
    <s v="Cancelada"/>
    <m/>
    <m/>
  </r>
  <r>
    <s v="MED160"/>
    <s v="CT047"/>
    <s v="THAIS"/>
    <x v="0"/>
    <s v="Mês 1"/>
    <n v="0.1"/>
    <x v="0"/>
    <x v="34"/>
    <x v="69"/>
    <x v="3"/>
    <n v="1425"/>
    <s v="Pago"/>
    <m/>
    <m/>
  </r>
  <r>
    <s v="MED161"/>
    <s v="CT047"/>
    <s v="THAIS"/>
    <x v="0"/>
    <s v="Mês 2"/>
    <n v="0.1"/>
    <x v="0"/>
    <x v="35"/>
    <x v="70"/>
    <x v="7"/>
    <n v="1425"/>
    <s v="Pago"/>
    <m/>
    <m/>
  </r>
  <r>
    <s v="MED162"/>
    <s v="CT047"/>
    <s v="THAIS"/>
    <x v="0"/>
    <s v="Mês 3"/>
    <n v="0.1"/>
    <x v="0"/>
    <x v="36"/>
    <x v="71"/>
    <x v="16"/>
    <n v="1425"/>
    <s v="Pago"/>
    <m/>
    <m/>
  </r>
  <r>
    <s v="MED163"/>
    <s v="CT047"/>
    <s v="THAIS"/>
    <x v="0"/>
    <s v="Mês 4"/>
    <n v="0.1"/>
    <x v="0"/>
    <x v="30"/>
    <x v="58"/>
    <x v="4"/>
    <n v="1425"/>
    <s v="Pago"/>
    <m/>
    <m/>
  </r>
  <r>
    <s v="MED164"/>
    <s v="CT047"/>
    <s v="THAIS"/>
    <x v="0"/>
    <s v="Mês 5"/>
    <n v="0.1"/>
    <x v="0"/>
    <x v="37"/>
    <x v="72"/>
    <x v="8"/>
    <n v="1425"/>
    <s v="Pago"/>
    <m/>
    <m/>
  </r>
  <r>
    <s v="MED165"/>
    <s v="CT047"/>
    <s v="THAIS"/>
    <x v="0"/>
    <s v="Mês 6"/>
    <n v="0.1"/>
    <x v="36"/>
    <x v="6"/>
    <x v="73"/>
    <x v="5"/>
    <n v="1425"/>
    <s v="Em andamento"/>
    <m/>
    <m/>
  </r>
  <r>
    <s v="MED166"/>
    <s v="CT047"/>
    <s v="THAIS"/>
    <x v="0"/>
    <s v="Mês 7"/>
    <n v="0.1"/>
    <x v="37"/>
    <x v="6"/>
    <x v="74"/>
    <x v="6"/>
    <n v="1425"/>
    <s v="A fazer"/>
    <m/>
    <m/>
  </r>
  <r>
    <s v="MED167"/>
    <s v="CT047"/>
    <s v="THAIS"/>
    <x v="0"/>
    <s v="Mês 8"/>
    <n v="0.1"/>
    <x v="38"/>
    <x v="6"/>
    <x v="75"/>
    <x v="9"/>
    <n v="1425"/>
    <s v="A fazer"/>
    <m/>
    <m/>
  </r>
  <r>
    <s v="MED168"/>
    <s v="CT047"/>
    <s v="THAIS"/>
    <x v="0"/>
    <s v="Mês 9"/>
    <n v="0.1"/>
    <x v="39"/>
    <x v="6"/>
    <x v="76"/>
    <x v="10"/>
    <n v="1425"/>
    <s v="A fazer"/>
    <m/>
    <m/>
  </r>
  <r>
    <s v="MED169"/>
    <s v="CT047"/>
    <s v="THAIS"/>
    <x v="0"/>
    <s v="Mês 10"/>
    <n v="0.1"/>
    <x v="40"/>
    <x v="6"/>
    <x v="77"/>
    <x v="11"/>
    <n v="1425"/>
    <s v="A fazer"/>
    <m/>
    <m/>
  </r>
  <r>
    <s v="MED170"/>
    <s v="CT050"/>
    <s v="THAIS"/>
    <x v="1"/>
    <s v="Mês 1"/>
    <n v="0.1"/>
    <x v="0"/>
    <x v="34"/>
    <x v="69"/>
    <x v="3"/>
    <n v="1425"/>
    <s v="Pago"/>
    <m/>
    <m/>
  </r>
  <r>
    <s v="MED171"/>
    <s v="CT050"/>
    <s v="THAIS"/>
    <x v="1"/>
    <s v="Mês 2"/>
    <n v="0.1"/>
    <x v="0"/>
    <x v="35"/>
    <x v="70"/>
    <x v="7"/>
    <n v="1425"/>
    <s v="Pago"/>
    <m/>
    <m/>
  </r>
  <r>
    <s v="MED172"/>
    <s v="CT050"/>
    <s v="THAIS"/>
    <x v="1"/>
    <s v="Mês 3"/>
    <n v="0.1"/>
    <x v="0"/>
    <x v="36"/>
    <x v="71"/>
    <x v="16"/>
    <n v="1425"/>
    <s v="Pago"/>
    <m/>
    <m/>
  </r>
  <r>
    <s v="MED173"/>
    <s v="CT050"/>
    <s v="THAIS"/>
    <x v="1"/>
    <s v="Mês 4"/>
    <n v="0.1"/>
    <x v="0"/>
    <x v="30"/>
    <x v="58"/>
    <x v="4"/>
    <n v="1425"/>
    <s v="Pago"/>
    <m/>
    <m/>
  </r>
  <r>
    <s v="MED174"/>
    <s v="CT050"/>
    <s v="THAIS"/>
    <x v="1"/>
    <s v="Mês 5"/>
    <n v="0.1"/>
    <x v="0"/>
    <x v="37"/>
    <x v="72"/>
    <x v="8"/>
    <n v="1425"/>
    <s v="Pago"/>
    <m/>
    <m/>
  </r>
  <r>
    <s v="MED175"/>
    <s v="CT050"/>
    <s v="THAIS"/>
    <x v="1"/>
    <s v="Mês 6"/>
    <n v="0.1"/>
    <x v="36"/>
    <x v="6"/>
    <x v="73"/>
    <x v="5"/>
    <n v="1425"/>
    <s v="Em andamento"/>
    <m/>
    <m/>
  </r>
  <r>
    <s v="MED176"/>
    <s v="CT050"/>
    <s v="THAIS"/>
    <x v="1"/>
    <s v="Mês 7"/>
    <n v="0.1"/>
    <x v="37"/>
    <x v="6"/>
    <x v="74"/>
    <x v="6"/>
    <n v="1425"/>
    <s v="A fazer"/>
    <m/>
    <m/>
  </r>
  <r>
    <s v="MED177"/>
    <s v="CT050"/>
    <s v="THAIS"/>
    <x v="1"/>
    <s v="Mês 8"/>
    <n v="0.1"/>
    <x v="38"/>
    <x v="6"/>
    <x v="75"/>
    <x v="9"/>
    <n v="1425"/>
    <s v="A fazer"/>
    <m/>
    <m/>
  </r>
  <r>
    <s v="MED178"/>
    <s v="CT050"/>
    <s v="THAIS"/>
    <x v="1"/>
    <s v="Mês 9"/>
    <n v="0.1"/>
    <x v="39"/>
    <x v="6"/>
    <x v="76"/>
    <x v="10"/>
    <n v="1425"/>
    <s v="A fazer"/>
    <m/>
    <m/>
  </r>
  <r>
    <s v="MED179"/>
    <s v="CT050"/>
    <s v="THAIS"/>
    <x v="1"/>
    <s v="Mês 10"/>
    <n v="0.1"/>
    <x v="40"/>
    <x v="6"/>
    <x v="77"/>
    <x v="11"/>
    <n v="1425"/>
    <s v="A fazer"/>
    <m/>
    <m/>
  </r>
  <r>
    <s v="MED180"/>
    <s v="CT048"/>
    <s v="THAIS"/>
    <x v="2"/>
    <s v="Mês 1"/>
    <n v="0.1"/>
    <x v="0"/>
    <x v="34"/>
    <x v="69"/>
    <x v="3"/>
    <n v="1425"/>
    <s v="Pago"/>
    <m/>
    <m/>
  </r>
  <r>
    <s v="MED181"/>
    <s v="CT048"/>
    <s v="THAIS"/>
    <x v="2"/>
    <s v="Mês 2"/>
    <n v="0.1"/>
    <x v="0"/>
    <x v="35"/>
    <x v="70"/>
    <x v="7"/>
    <n v="1425"/>
    <s v="Pago"/>
    <m/>
    <m/>
  </r>
  <r>
    <s v="MED182"/>
    <s v="CT048"/>
    <s v="THAIS"/>
    <x v="2"/>
    <s v="Mês 3"/>
    <n v="0.1"/>
    <x v="0"/>
    <x v="36"/>
    <x v="71"/>
    <x v="16"/>
    <n v="1425"/>
    <s v="Pago"/>
    <m/>
    <m/>
  </r>
  <r>
    <s v="MED183"/>
    <s v="CT048"/>
    <s v="THAIS"/>
    <x v="2"/>
    <s v="Mês 4"/>
    <n v="0.1"/>
    <x v="0"/>
    <x v="30"/>
    <x v="58"/>
    <x v="4"/>
    <n v="1425"/>
    <s v="Pago"/>
    <m/>
    <m/>
  </r>
  <r>
    <s v="MED184"/>
    <s v="CT048"/>
    <s v="THAIS"/>
    <x v="2"/>
    <s v="Mês 5"/>
    <n v="0.1"/>
    <x v="0"/>
    <x v="37"/>
    <x v="72"/>
    <x v="8"/>
    <n v="1425"/>
    <s v="Pago"/>
    <m/>
    <m/>
  </r>
  <r>
    <s v="MED185"/>
    <s v="CT048"/>
    <s v="THAIS"/>
    <x v="2"/>
    <s v="Mês 6"/>
    <n v="0.1"/>
    <x v="36"/>
    <x v="6"/>
    <x v="73"/>
    <x v="5"/>
    <n v="1425"/>
    <s v="Em andamento"/>
    <m/>
    <m/>
  </r>
  <r>
    <s v="MED186"/>
    <s v="CT048"/>
    <s v="THAIS"/>
    <x v="2"/>
    <s v="Mês 7"/>
    <n v="0.1"/>
    <x v="37"/>
    <x v="6"/>
    <x v="74"/>
    <x v="6"/>
    <n v="1425"/>
    <s v="A fazer"/>
    <m/>
    <m/>
  </r>
  <r>
    <s v="MED187"/>
    <s v="CT048"/>
    <s v="THAIS"/>
    <x v="2"/>
    <s v="Mês 8"/>
    <n v="0.1"/>
    <x v="38"/>
    <x v="6"/>
    <x v="75"/>
    <x v="9"/>
    <n v="1425"/>
    <s v="A fazer"/>
    <m/>
    <m/>
  </r>
  <r>
    <s v="MED188"/>
    <s v="CT048"/>
    <s v="THAIS"/>
    <x v="2"/>
    <s v="Mês 9"/>
    <n v="0.1"/>
    <x v="39"/>
    <x v="6"/>
    <x v="76"/>
    <x v="10"/>
    <n v="1425"/>
    <s v="A fazer"/>
    <m/>
    <m/>
  </r>
  <r>
    <s v="MED189"/>
    <s v="CT048"/>
    <s v="THAIS"/>
    <x v="2"/>
    <s v="Mês 10"/>
    <n v="0.1"/>
    <x v="40"/>
    <x v="6"/>
    <x v="77"/>
    <x v="11"/>
    <n v="1425"/>
    <s v="A fazer"/>
    <m/>
    <m/>
  </r>
  <r>
    <s v="MED190"/>
    <s v="CT049"/>
    <s v="THAIS"/>
    <x v="4"/>
    <s v="Mês 1"/>
    <n v="0.1"/>
    <x v="0"/>
    <x v="34"/>
    <x v="69"/>
    <x v="3"/>
    <n v="1425"/>
    <s v="Pago"/>
    <m/>
    <m/>
  </r>
  <r>
    <s v="MED191"/>
    <s v="CT049"/>
    <s v="THAIS"/>
    <x v="4"/>
    <s v="Mês 2"/>
    <n v="0.1"/>
    <x v="0"/>
    <x v="35"/>
    <x v="70"/>
    <x v="7"/>
    <n v="1425"/>
    <s v="Pago"/>
    <m/>
    <m/>
  </r>
  <r>
    <s v="MED192"/>
    <s v="CT049"/>
    <s v="THAIS"/>
    <x v="4"/>
    <s v="Mês 3"/>
    <n v="0.1"/>
    <x v="0"/>
    <x v="36"/>
    <x v="71"/>
    <x v="16"/>
    <n v="1425"/>
    <s v="Pago"/>
    <m/>
    <m/>
  </r>
  <r>
    <s v="MED193"/>
    <s v="CT049"/>
    <s v="THAIS"/>
    <x v="4"/>
    <s v="Mês 4"/>
    <n v="0.1"/>
    <x v="0"/>
    <x v="30"/>
    <x v="58"/>
    <x v="4"/>
    <n v="1425"/>
    <s v="Pago"/>
    <m/>
    <m/>
  </r>
  <r>
    <s v="MED194"/>
    <s v="CT049"/>
    <s v="THAIS"/>
    <x v="4"/>
    <s v="Mês 5"/>
    <n v="0.1"/>
    <x v="0"/>
    <x v="37"/>
    <x v="72"/>
    <x v="8"/>
    <n v="1425"/>
    <s v="Pago"/>
    <m/>
    <m/>
  </r>
  <r>
    <s v="MED195"/>
    <s v="CT049"/>
    <s v="THAIS"/>
    <x v="4"/>
    <s v="Mês 6"/>
    <n v="0.1"/>
    <x v="36"/>
    <x v="6"/>
    <x v="73"/>
    <x v="5"/>
    <n v="1425"/>
    <s v="Em andamento"/>
    <m/>
    <m/>
  </r>
  <r>
    <s v="MED196"/>
    <s v="CT049"/>
    <s v="THAIS"/>
    <x v="4"/>
    <s v="Mês 7"/>
    <n v="0.1"/>
    <x v="37"/>
    <x v="6"/>
    <x v="74"/>
    <x v="6"/>
    <n v="1425"/>
    <s v="A fazer"/>
    <m/>
    <m/>
  </r>
  <r>
    <s v="MED197"/>
    <s v="CT049"/>
    <s v="THAIS"/>
    <x v="4"/>
    <s v="Mês 8"/>
    <n v="0.1"/>
    <x v="38"/>
    <x v="6"/>
    <x v="75"/>
    <x v="9"/>
    <n v="1425"/>
    <s v="A fazer"/>
    <m/>
    <m/>
  </r>
  <r>
    <s v="MED198"/>
    <s v="CT049"/>
    <s v="THAIS"/>
    <x v="4"/>
    <s v="Mês 9"/>
    <n v="0.1"/>
    <x v="39"/>
    <x v="6"/>
    <x v="76"/>
    <x v="10"/>
    <n v="1425"/>
    <s v="A fazer"/>
    <m/>
    <m/>
  </r>
  <r>
    <s v="MED199"/>
    <s v="CT049"/>
    <s v="THAIS"/>
    <x v="4"/>
    <s v="Mês 10"/>
    <n v="0.1"/>
    <x v="40"/>
    <x v="6"/>
    <x v="77"/>
    <x v="11"/>
    <n v="1425"/>
    <s v="A fazer"/>
    <m/>
    <m/>
  </r>
  <r>
    <s v="MED200"/>
    <s v="CT051"/>
    <s v="COSTA"/>
    <x v="0"/>
    <s v="PGRCC"/>
    <n v="1"/>
    <x v="0"/>
    <x v="38"/>
    <x v="78"/>
    <x v="3"/>
    <n v="600"/>
    <s v="Pago"/>
    <m/>
    <m/>
  </r>
  <r>
    <s v="MED201"/>
    <s v="CT052"/>
    <s v="COSTA"/>
    <x v="1"/>
    <s v="PGRCC"/>
    <n v="1"/>
    <x v="41"/>
    <x v="6"/>
    <x v="79"/>
    <x v="5"/>
    <n v="600"/>
    <s v="Em andamento"/>
    <m/>
    <m/>
  </r>
  <r>
    <s v="MED202"/>
    <s v="CT053"/>
    <s v="COSTA"/>
    <x v="2"/>
    <s v="PGRCC"/>
    <n v="1"/>
    <x v="24"/>
    <x v="6"/>
    <x v="40"/>
    <x v="9"/>
    <n v="600"/>
    <s v="A fazer"/>
    <m/>
    <m/>
  </r>
  <r>
    <s v="MED203"/>
    <s v="CT054"/>
    <s v="COSTA"/>
    <x v="3"/>
    <s v="PGRCC"/>
    <n v="1"/>
    <x v="0"/>
    <x v="6"/>
    <x v="22"/>
    <x v="14"/>
    <n v="600"/>
    <s v="Cancelada"/>
    <m/>
    <m/>
  </r>
  <r>
    <s v="MED204"/>
    <s v="CT055"/>
    <s v="COSTA"/>
    <x v="4"/>
    <s v="PGRCC"/>
    <n v="1"/>
    <x v="0"/>
    <x v="9"/>
    <x v="9"/>
    <x v="8"/>
    <n v="600"/>
    <s v="Pago"/>
    <m/>
    <m/>
  </r>
  <r>
    <s v="MED205"/>
    <s v="CT056"/>
    <s v="MBUIATE"/>
    <x v="7"/>
    <s v="Entrada"/>
    <n v="0.47"/>
    <x v="23"/>
    <x v="6"/>
    <x v="39"/>
    <x v="5"/>
    <n v="25850"/>
    <s v="Em andamento"/>
    <m/>
    <m/>
  </r>
  <r>
    <s v="MED206"/>
    <s v="CT056"/>
    <s v="MBUIATE"/>
    <x v="7"/>
    <s v="Conteção"/>
    <n v="0.38"/>
    <x v="26"/>
    <x v="6"/>
    <x v="50"/>
    <x v="6"/>
    <n v="20900"/>
    <s v="A fazer"/>
    <m/>
    <m/>
  </r>
  <r>
    <s v="MED207"/>
    <s v="CT056"/>
    <s v="MBUIATE"/>
    <x v="7"/>
    <s v="Casas"/>
    <n v="0.15"/>
    <x v="24"/>
    <x v="6"/>
    <x v="40"/>
    <x v="9"/>
    <n v="8250"/>
    <s v="A fazer"/>
    <m/>
    <m/>
  </r>
  <r>
    <s v="MED208"/>
    <s v="CT057"/>
    <s v="MBUIATE"/>
    <x v="4"/>
    <s v="Entrada"/>
    <n v="0.51515151515151514"/>
    <x v="42"/>
    <x v="6"/>
    <x v="80"/>
    <x v="10"/>
    <n v="8500"/>
    <s v="A fazer"/>
    <m/>
    <m/>
  </r>
  <r>
    <s v="MED209"/>
    <s v="CT057"/>
    <s v="MBUIATE"/>
    <x v="4"/>
    <s v="Executivo fund rasa + contenções"/>
    <n v="0.48484848484848486"/>
    <x v="43"/>
    <x v="6"/>
    <x v="81"/>
    <x v="20"/>
    <n v="8000"/>
    <s v="A fazer"/>
    <m/>
    <m/>
  </r>
  <r>
    <s v="MED210"/>
    <s v="CT061"/>
    <s v="TAXAS"/>
    <x v="4"/>
    <s v="CRT - ART"/>
    <n v="2.891818744856491E-4"/>
    <x v="0"/>
    <x v="39"/>
    <x v="82"/>
    <x v="2"/>
    <n v="68.17"/>
    <s v="Pago"/>
    <m/>
    <m/>
  </r>
  <r>
    <s v="MED211"/>
    <s v="CT058"/>
    <s v="TAXAS"/>
    <x v="0"/>
    <s v="CREA - ART"/>
    <n v="2.1110696475746556E-4"/>
    <x v="0"/>
    <x v="40"/>
    <x v="83"/>
    <x v="7"/>
    <n v="108.39"/>
    <s v="Pago"/>
    <m/>
    <m/>
  </r>
  <r>
    <s v="MED212"/>
    <s v="CT058"/>
    <s v="TAXAS"/>
    <x v="0"/>
    <s v="PMU - PROTOCOLO"/>
    <n v="1.1380669543491657E-2"/>
    <x v="0"/>
    <x v="41"/>
    <x v="84"/>
    <x v="7"/>
    <n v="5843.25"/>
    <s v="Pago"/>
    <m/>
    <m/>
  </r>
  <r>
    <s v="MED213"/>
    <s v="CT061"/>
    <s v="TAXAS"/>
    <x v="4"/>
    <s v="CREA - ART"/>
    <n v="4.5979790781134667E-4"/>
    <x v="0"/>
    <x v="42"/>
    <x v="85"/>
    <x v="16"/>
    <n v="108.39"/>
    <s v="Pago"/>
    <m/>
    <m/>
  </r>
  <r>
    <s v="MED214"/>
    <s v="CT059"/>
    <s v="TAXAS"/>
    <x v="1"/>
    <s v="PMU - CERTIDÕES"/>
    <n v="4.4834970034087003E-5"/>
    <x v="0"/>
    <x v="43"/>
    <x v="86"/>
    <x v="16"/>
    <n v="12.99"/>
    <s v="Pago"/>
    <m/>
    <m/>
  </r>
  <r>
    <s v="MED215"/>
    <s v="CT059"/>
    <s v="TAXAS"/>
    <x v="1"/>
    <s v="PMU - CERTIDÕES"/>
    <n v="3.0090166955902271E-4"/>
    <x v="0"/>
    <x v="44"/>
    <x v="87"/>
    <x v="16"/>
    <n v="87.18"/>
    <s v="Pago"/>
    <m/>
    <m/>
  </r>
  <r>
    <s v="MED216"/>
    <s v="CT059"/>
    <s v="TAXAS"/>
    <x v="1"/>
    <s v="Receita - Impostos demolição"/>
    <n v="3.1824993821817062E-2"/>
    <x v="0"/>
    <x v="45"/>
    <x v="88"/>
    <x v="4"/>
    <n v="9220.630000000001"/>
    <s v="Pago"/>
    <m/>
    <m/>
  </r>
  <r>
    <s v="MED217"/>
    <s v="CT061"/>
    <s v="TAXAS"/>
    <x v="4"/>
    <s v="CREA - ART"/>
    <n v="4.5979790781134667E-4"/>
    <x v="0"/>
    <x v="46"/>
    <x v="89"/>
    <x v="4"/>
    <n v="108.39"/>
    <s v="Pago"/>
    <m/>
    <m/>
  </r>
  <r>
    <s v="MED218"/>
    <s v="CT058"/>
    <s v="TAXAS"/>
    <x v="0"/>
    <s v="CREA - ART"/>
    <n v="2.1110696475746556E-4"/>
    <x v="0"/>
    <x v="47"/>
    <x v="90"/>
    <x v="4"/>
    <n v="108.39"/>
    <s v="Pago"/>
    <m/>
    <m/>
  </r>
  <r>
    <s v="MED219"/>
    <s v="CT061"/>
    <s v="TAXAS"/>
    <x v="4"/>
    <s v="PMU - PROTOCOLO"/>
    <n v="1.103353780108088E-2"/>
    <x v="0"/>
    <x v="48"/>
    <x v="91"/>
    <x v="4"/>
    <n v="2600.98"/>
    <s v="Pago"/>
    <m/>
    <m/>
  </r>
  <r>
    <s v="MED220"/>
    <s v="CT059"/>
    <s v="TAXAS"/>
    <x v="1"/>
    <s v="CARTÓRIO - LEGALIZAÇÃO TERRENO"/>
    <n v="3.8556003330006083E-3"/>
    <x v="0"/>
    <x v="49"/>
    <x v="92"/>
    <x v="4"/>
    <n v="1117.08"/>
    <s v="Pago"/>
    <m/>
    <m/>
  </r>
  <r>
    <s v="MED221"/>
    <s v="CT059"/>
    <s v="TAXAS"/>
    <x v="1"/>
    <s v="CARTÓRIO - LEGALIZAÇÃO TERRENO"/>
    <n v="1.5916932086928069E-3"/>
    <x v="0"/>
    <x v="9"/>
    <x v="9"/>
    <x v="8"/>
    <n v="461.16"/>
    <s v="Pago"/>
    <m/>
    <m/>
  </r>
  <r>
    <s v="MED222"/>
    <s v="CT059"/>
    <s v="TAXAS"/>
    <x v="1"/>
    <s v="PMU - CERTIDÕES"/>
    <n v="3.0090166955902271E-4"/>
    <x v="0"/>
    <x v="50"/>
    <x v="93"/>
    <x v="8"/>
    <n v="87.18"/>
    <s v="Pago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9C6C7-5AAC-4FE1-BB36-DA0A8F6F90BA}" name="Tabela dinâmica3" cacheId="2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3">
  <location ref="B7:D21" firstHeaderRow="0" firstDataRow="1" firstDataCol="1"/>
  <pivotFields count="4">
    <pivotField axis="axisRow" allDrilled="1" subtotalTop="0" showAll="0" sortType="a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DESEMBOLSO" fld="1" baseField="0" baseItem="0"/>
    <dataField name="ACUMULADO" fld="3" showDataAs="runTotal" baseField="0" baseItem="0">
      <extLst>
        <ext xmlns:x14="http://schemas.microsoft.com/office/spreadsheetml/2009/9/main" uri="{E15A36E0-9728-4e99-A89B-3F7291B0FE68}">
          <x14:dataField sourceField="1" uniqueName="[__Xl2].[Measures].[Soma de VALOR MEDIÇÃO]"/>
        </ext>
      </extLst>
    </dataField>
  </dataFields>
  <formats count="2">
    <format dxfId="31">
      <pivotArea collapsedLevelsAreSubtotals="1" fieldPosition="0">
        <references count="1">
          <reference field="0" count="0"/>
        </references>
      </pivotArea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Obras].[CÓDIGO].&amp;[GAL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DESEMBOLSO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aptionBetween" evalOrder="-1" id="1" stringValue1="23/08" stringValue2="30/01">
      <autoFilter ref="A1">
        <filterColumn colId="0">
          <customFilters and="1">
            <customFilter operator="greaterThanOrEqual" val="2.875"/>
            <customFilter operator="lessThanOrEqual" val="30"/>
          </customFilters>
        </filterColumn>
      </autoFilter>
    </filter>
  </filters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CC-PROJ-CONTROLE_MEDIÇÕES-R01.xlsx!tbMedições">
        <x15:activeTabTopLevelEntity name="[tbMediçõ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4A0D3-B8D1-4AB6-8664-9D750FAFED36}" name="Tabela dinâ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:F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ORÇAMENTO BASE" fld="0" baseField="0" baseItem="0"/>
    <dataField name="Soma de VALOR CONTRATADO" fld="1" baseField="0" baseItem="0"/>
    <dataField name="Soma de SALDO A CONTRATAR" fld="2" baseField="0" baseItem="0"/>
    <dataField name="Soma de VALOR MEDIDO" fld="3" baseField="0" baseItem="0"/>
    <dataField name="Soma de SALDO MEDIÇÃO" fld="4" baseField="0" baseItem="0"/>
  </dataFields>
  <formats count="1">
    <format dxfId="32">
      <pivotArea outline="0" collapsedLevelsAreSubtotals="1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Obras].[CÓDIGO].&amp;[GAL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CC-PROJ-CONTROLE_MEDIÇÕES-R01.xlsx!tbOrçamento">
        <x15:activeTabTopLevelEntity name="[tbOrç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9E2AB-61B7-430D-A03E-75AABC14A20E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S3:U23" firstHeaderRow="0" firstDataRow="1" firstDataCol="1"/>
  <pivotFields count="20">
    <pivotField showAll="0"/>
    <pivotField showAll="0"/>
    <pivotField showAll="0"/>
    <pivotField showAll="0">
      <items count="9">
        <item x="0"/>
        <item h="1" x="1"/>
        <item h="1" x="3"/>
        <item h="1" x="7"/>
        <item h="1" x="2"/>
        <item h="1" x="6"/>
        <item h="1" x="5"/>
        <item h="1" x="4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67">
        <item x="14"/>
        <item m="1" x="54"/>
        <item x="17"/>
        <item m="1" x="24"/>
        <item x="0"/>
        <item x="1"/>
        <item x="13"/>
        <item x="15"/>
        <item x="19"/>
        <item m="1" x="25"/>
        <item m="1" x="50"/>
        <item m="1" x="51"/>
        <item m="1" x="63"/>
        <item m="1" x="62"/>
        <item x="12"/>
        <item x="2"/>
        <item x="3"/>
        <item x="7"/>
        <item x="16"/>
        <item x="4"/>
        <item x="8"/>
        <item x="5"/>
        <item x="6"/>
        <item x="9"/>
        <item x="10"/>
        <item x="11"/>
        <item m="1" x="46"/>
        <item m="1" x="52"/>
        <item m="1" x="26"/>
        <item m="1" x="59"/>
        <item m="1" x="53"/>
        <item m="1" x="42"/>
        <item m="1" x="47"/>
        <item m="1" x="27"/>
        <item m="1" x="44"/>
        <item m="1" x="38"/>
        <item m="1" x="33"/>
        <item m="1" x="36"/>
        <item x="20"/>
        <item x="21"/>
        <item x="18"/>
        <item m="1" x="32"/>
        <item m="1" x="28"/>
        <item m="1" x="22"/>
        <item m="1" x="29"/>
        <item m="1" x="49"/>
        <item m="1" x="55"/>
        <item m="1" x="56"/>
        <item m="1" x="30"/>
        <item m="1" x="31"/>
        <item m="1" x="64"/>
        <item m="1" x="65"/>
        <item m="1" x="39"/>
        <item m="1" x="34"/>
        <item m="1" x="37"/>
        <item m="1" x="57"/>
        <item m="1" x="60"/>
        <item m="1" x="41"/>
        <item m="1" x="43"/>
        <item m="1" x="58"/>
        <item m="1" x="61"/>
        <item m="1" x="45"/>
        <item m="1" x="48"/>
        <item m="1" x="23"/>
        <item m="1" x="35"/>
        <item m="1" x="40"/>
        <item t="default"/>
      </items>
    </pivotField>
    <pivotField dataField="1" numFmtId="4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>
      <items count="7">
        <item x="1"/>
        <item sd="0" x="2"/>
        <item sd="0" x="3"/>
        <item sd="0" x="4"/>
        <item sd="0" x="5"/>
        <item x="0"/>
        <item t="default"/>
      </items>
    </pivotField>
    <pivotField showAll="0">
      <items count="131"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x="124"/>
        <item sd="0" x="125"/>
        <item x="126"/>
        <item x="127"/>
        <item x="128"/>
        <item sd="0" x="129"/>
        <item x="0"/>
        <item t="default"/>
      </items>
    </pivotField>
  </pivotFields>
  <rowFields count="1">
    <field x="9"/>
  </rowFields>
  <rowItems count="20">
    <i>
      <x v="2"/>
    </i>
    <i>
      <x v="4"/>
    </i>
    <i>
      <x v="5"/>
    </i>
    <i>
      <x v="7"/>
    </i>
    <i>
      <x v="8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Desembolso" fld="10" baseField="0" baseItem="0"/>
    <dataField name="Acumulado" fld="10" showDataAs="runTotal" baseField="9" baseItem="0"/>
  </dataFields>
  <pivotTableStyleInfo name="PivotStyleLight16" showRowHeaders="1" showColHeaders="1" showRowStripes="0" showColStripes="0" showLastColumn="1"/>
  <filters count="2">
    <filter fld="9" type="captionBetween" evalOrder="-1" id="3" stringValue1="23/08" stringValue2="28/01">
      <autoFilter ref="A1">
        <filterColumn colId="0">
          <customFilters and="1">
            <customFilter operator="greaterThanOrEqual" val="2.875"/>
            <customFilter operator="lessThanOrEqual" val="28"/>
          </customFilters>
        </filterColumn>
      </autoFilter>
    </filter>
    <filter fld="8" type="dateNotEqual" evalOrder="-1" id="2">
      <autoFilter ref="A1">
        <filterColumn colId="0">
          <customFilters>
            <customFilter operator="not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BRA1" xr10:uid="{6F1F4DD8-0B5A-43FF-82C1-0EC765C3B7CA}" sourceName="OBRA">
  <pivotTables>
    <pivotTable tabId="21" name="Tabela dinâmica2"/>
  </pivotTables>
  <data>
    <tabular pivotCacheId="37145115">
      <items count="8">
        <i x="0" s="1"/>
        <i x="1"/>
        <i x="3"/>
        <i x="7"/>
        <i x="2"/>
        <i x="6"/>
        <i x="5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IGO" xr10:uid="{B2A106E5-B50E-445D-B095-77DF96DA5A11}" sourceName="[tbObras].[CÓDIGO]">
  <pivotTables>
    <pivotTable tabId="35" name="Tabela dinâmica2"/>
    <pivotTable tabId="35" name="Tabela dinâmica3"/>
  </pivotTables>
  <data>
    <olap pivotCacheId="942428815">
      <levels count="2">
        <level uniqueName="[tbObras].[CÓDIGO].[(All)]" sourceCaption="(All)" count="0"/>
        <level uniqueName="[tbObras].[CÓDIGO].[CÓDIGO]" sourceCaption="CÓDIGO" count="10">
          <ranges>
            <range startItem="0">
              <i n="[tbObras].[CÓDIGO].&amp;[ALT]" c="ALT"/>
              <i n="[tbObras].[CÓDIGO].&amp;[GAL]" c="GAL"/>
              <i n="[tbObras].[CÓDIGO].&amp;[LIB]" c="LIB"/>
              <i n="[tbObras].[CÓDIGO].&amp;[PQSUL]" c="PQSUL"/>
              <i n="[tbObras].[CÓDIGO].&amp;[UNA]" c="UNA"/>
              <i n="[tbObras].[CÓDIGO].&amp;[MON]" c="MON"/>
              <i n="[tbObras].[CÓDIGO].&amp;[SEFAZ]" c="SEFAZ"/>
              <i n="[tbObras].[CÓDIGO].&amp;[STM]" c="STM"/>
              <i n="[tbObras].[CÓDIGO].&amp;[OTI]" c="OTI" nd="1"/>
              <i n="[tbObras].[CÓDIGO].&amp;[PAI3]" c="PAI3" nd="1"/>
            </range>
          </ranges>
        </level>
      </levels>
      <selections count="1">
        <selection n="[tbObras].[CÓDIGO].&amp;[GA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IGO" xr10:uid="{63B8F369-5BAF-4120-B9C9-176979420185}" cache="SegmentaçãodeDados_CÓDIGO" caption="CÓDIGO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BRA 1" xr10:uid="{FB5AC4F0-D013-4126-AD44-F46758AA72FC}" cache="SegmentaçãodeDados_OBRA1" caption="OBR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303E9-EFFB-490B-A9E7-3B8CBB1CF154}" name="tbObras" displayName="tbObras" ref="A1:E11" totalsRowShown="0" headerRowDxfId="62" dataDxfId="61">
  <autoFilter ref="A1:E11" xr:uid="{F77303E9-EFFB-490B-A9E7-3B8CBB1CF154}"/>
  <tableColumns count="5">
    <tableColumn id="1" xr3:uid="{0AC16CA4-7F0F-4DE0-9874-9066C1F1E280}" name="OBRA_ID" dataDxfId="60"/>
    <tableColumn id="5" xr3:uid="{7F3818CE-286C-4253-A4C7-1228D8408A7E}" name="CC" dataDxfId="59"/>
    <tableColumn id="2" xr3:uid="{2E299B29-4CC7-4791-A902-17918BB55DBB}" name="CÓDIGO" dataDxfId="58"/>
    <tableColumn id="3" xr3:uid="{3D6B3AC4-F229-49E7-9614-7CBEE5BBE194}" name="NOME" dataDxfId="57"/>
    <tableColumn id="4" xr3:uid="{38A7C5D9-AED7-4936-AF02-825CDB16C27F}" name="ENDEREÇO" dataDxfId="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75FC4-8A8D-4019-8842-6557F2624776}" name="tbDisciplinas" displayName="tbDisciplinas" ref="G1:I17" totalsRowShown="0" headerRowDxfId="55" dataDxfId="53" headerRowBorderDxfId="54" tableBorderDxfId="52">
  <autoFilter ref="G1:I17" xr:uid="{9E475FC4-8A8D-4019-8842-6557F2624776}"/>
  <tableColumns count="3">
    <tableColumn id="1" xr3:uid="{CFC92D65-7B6D-40B0-A2FF-7AB11C307691}" name="DISCIPLINA_ID" dataDxfId="51"/>
    <tableColumn id="2" xr3:uid="{FC58753B-B712-4E0A-AEF3-BC2ABE096CF0}" name="DISCIPLINA" dataDxfId="50"/>
    <tableColumn id="3" xr3:uid="{AB2133D7-8DCF-410F-9FF5-A7F7577DEA4D}" name="COD_DISCIPLINA" dataDxfId="4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F38CD5-B572-4756-B418-28108DFA388E}" name="tbSubdisciplinas" displayName="tbSubdisciplinas" ref="K1:O60" totalsRowShown="0" headerRowDxfId="48" dataDxfId="47">
  <autoFilter ref="K1:O60" xr:uid="{05F38CD5-B572-4756-B418-28108DFA388E}"/>
  <tableColumns count="5">
    <tableColumn id="1" xr3:uid="{54486A1B-BEFD-4831-8149-FBB91C04F5DE}" name="DISCIPLINA_ID" dataDxfId="46"/>
    <tableColumn id="2" xr3:uid="{17FA36E9-AA1F-4841-9685-3E453D18C53F}" name="DISCIPLINA" dataDxfId="45"/>
    <tableColumn id="4" xr3:uid="{07DD6841-9357-4D79-BC2F-7D5CBEFB93F3}" name="COD_DISCIPLINA" dataDxfId="44"/>
    <tableColumn id="6" xr3:uid="{0EF30467-4644-4707-AE33-A6566A0033B8}" name="SUBDISCIPLINA" dataDxfId="43"/>
    <tableColumn id="3" xr3:uid="{0BE3FEE9-B9F2-43E6-9A3F-481455FAB423}" name="COD_SUBDISCIPLINA" dataDxfId="4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AA9DF2-9A96-4EAB-9153-E6AF53B4C7AB}" name="tbFornecedores" displayName="tbFornecedores" ref="Q1:T25" totalsRowShown="0" headerRowDxfId="41" dataDxfId="40">
  <autoFilter ref="Q1:T25" xr:uid="{4CAA9DF2-9A96-4EAB-9153-E6AF53B4C7AB}"/>
  <tableColumns count="4">
    <tableColumn id="1" xr3:uid="{7915064D-9851-45EF-A3A1-2C20AAEAE580}" name="FORNECEDOR_ID" dataDxfId="39"/>
    <tableColumn id="4" xr3:uid="{A550356B-A80F-4BAB-8359-4F1FB2EB9F6C}" name="ID SIENGE" dataDxfId="38"/>
    <tableColumn id="2" xr3:uid="{C976517D-C28E-4CAF-8579-689613F8CE71}" name="FORNECEDOR" dataDxfId="37"/>
    <tableColumn id="3" xr3:uid="{710A92BF-1040-451E-B31A-170B28105FD5}" name="TIPO" dataDxfId="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FEEEAE-B6DC-4031-89F9-65D6D1945872}" name="tbStatusOrçamento" displayName="tbStatusOrçamento" ref="X1:X6" totalsRowShown="0">
  <autoFilter ref="X1:X6" xr:uid="{48FEEEAE-B6DC-4031-89F9-65D6D1945872}"/>
  <tableColumns count="1">
    <tableColumn id="1" xr3:uid="{5A376134-98E9-414B-BB1B-88D7FEA9A398}" name="Status orçament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9A4675-7A1A-4DB2-B8F3-73FD5698A3FB}" name="tbStatusMedição" displayName="tbStatusMedição" ref="Z1:Z5" totalsRowShown="0" headerRowDxfId="35" headerRowBorderDxfId="34" tableBorderDxfId="33">
  <autoFilter ref="Z1:Z5" xr:uid="{099A4675-7A1A-4DB2-B8F3-73FD5698A3FB}"/>
  <tableColumns count="1">
    <tableColumn id="1" xr3:uid="{EAD9947C-FB12-43D6-8E6C-665746954270}" name="Status mediçõ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366162-1B99-44E6-98D9-2B2563E465E0}" name="tbOrçamento" displayName="tbOrçamento" ref="A1:J111" totalsRowCount="1">
  <autoFilter ref="A1:J110" xr:uid="{8D366162-1B99-44E6-98D9-2B2563E465E0}"/>
  <tableColumns count="10">
    <tableColumn id="2" xr3:uid="{EACC0E7E-0E7E-4441-9825-F9636CEF356D}" name="OBRA" totalsRowLabel="Total"/>
    <tableColumn id="1" xr3:uid="{9338B856-CD3D-44AD-ABDE-7675B3FBCC4E}" name="NOME OBRA" dataDxfId="29">
      <calculatedColumnFormula>_xlfn.XLOOKUP(tbOrçamento[[#This Row],[OBRA]],tbObras[CÓDIGO],tbObras[NOME],"Não encontrado",0)</calculatedColumnFormula>
    </tableColumn>
    <tableColumn id="3" xr3:uid="{052F450C-7F49-4CC6-8E5A-3B06D9415CBA}" name="DISCIPLINA"/>
    <tableColumn id="4" xr3:uid="{2A93D422-B63E-4AEE-BC48-F0BCE333C1C7}" name="SUBDISCIPLINA"/>
    <tableColumn id="5" xr3:uid="{7A95967A-FD1A-477B-A1B8-C47E5AC6DC90}" name="ORÇAMENTO BASE " totalsRowFunction="sum" dataDxfId="28" totalsRowDxfId="27"/>
    <tableColumn id="7" xr3:uid="{BDD6F0D9-B424-47CF-B395-ECC177947514}" name="VALOR CONTRATADO" totalsRowFunction="sum" dataDxfId="26" totalsRowDxfId="25">
      <calculatedColumnFormula>SUMIFS(tbContratos[VALOR CONTRATO],tbContratos[OBRA],tbOrçamento[[#This Row],[OBRA]],tbContratos[SUBDISCIPLINA],tbOrçamento[[#This Row],[SUBDISCIPLINA]])</calculatedColumnFormula>
    </tableColumn>
    <tableColumn id="8" xr3:uid="{54717E5D-F111-420B-9663-983795A2A462}" name="SALDO A CONTRATAR" totalsRowFunction="sum" dataDxfId="24" totalsRowDxfId="23">
      <calculatedColumnFormula>tbOrçamento[[#This Row],[ORÇAMENTO BASE ]]-tbOrçamento[[#This Row],[VALOR CONTRATADO]]</calculatedColumnFormula>
    </tableColumn>
    <tableColumn id="9" xr3:uid="{9F0C69FB-E37A-4E3E-A8FC-6DE3C77AB2AF}" name="VALOR MEDIDO" dataDxfId="22">
      <calculatedColumnFormula>SUMIFS(tbContratos[VALOR MEDIDO],tbContratos[OBRA],tbOrçamento[[#This Row],[OBRA]],tbContratos[SUBDISCIPLINA],tbOrçamento[[#This Row],[SUBDISCIPLINA]])</calculatedColumnFormula>
    </tableColumn>
    <tableColumn id="11" xr3:uid="{940E28A8-28B7-4DE4-9073-28CE9EFCC01A}" name="SALDO MEDIÇÃO" dataDxfId="21">
      <calculatedColumnFormula>tbOrçamento[[#This Row],[VALOR CONTRATADO]]-tbOrçamento[[#This Row],[VALOR MEDIDO]]</calculatedColumnFormula>
    </tableColumn>
    <tableColumn id="6" xr3:uid="{96F25BB9-A6BE-41E4-8D10-19E228DE8E77}" name="STATUS " totalsRowFunction="coun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75747-5711-4FC8-BDBF-F4701B00EFD4}" name="tbContratos" displayName="tbContratos" ref="A1:J62" totalsRowShown="0">
  <autoFilter ref="A1:J62" xr:uid="{CA775747-5711-4FC8-BDBF-F4701B00EFD4}"/>
  <tableColumns count="10">
    <tableColumn id="1" xr3:uid="{935D3030-056F-4D67-8147-01A5F53A2736}" name="CONTRATO_ID"/>
    <tableColumn id="8" xr3:uid="{A51B3C9F-D67F-4004-8C39-8EEB973CF88E}" name="NUM SIENGE"/>
    <tableColumn id="3" xr3:uid="{E5948201-3CF5-4C08-818D-1EC7B6F490E6}" name="EMPRESA"/>
    <tableColumn id="2" xr3:uid="{675A0F22-AC40-451C-AF12-184F0329330C}" name="OBRA"/>
    <tableColumn id="4" xr3:uid="{3D15DC3A-EA47-4115-BA5B-A1F1395691AD}" name="DISCIPLINA" dataDxfId="20">
      <calculatedColumnFormula>_xlfn.XLOOKUP(tbContratos[[#This Row],[EMPRESA]],tbFornecedores[FORNECEDOR],tbFornecedores[TIPO],"Não encontrado")</calculatedColumnFormula>
    </tableColumn>
    <tableColumn id="12" xr3:uid="{3EB5EC08-BD4F-47ED-B70B-0E5D8BDEC5F0}" name="SUBDISCIPLINA" dataDxfId="19"/>
    <tableColumn id="5" xr3:uid="{E87CF058-C294-4F50-A3D3-62B4B39ACA25}" name="VALOR CONTRATO"/>
    <tableColumn id="9" xr3:uid="{01C3B28A-4959-4C01-A8E5-2DCAF8B34271}" name="VALOR MEDIDO" dataDxfId="18">
      <calculatedColumnFormula>SUMIFS(tbMedições[VALOR MEDIÇÃO],tbMedições[CONTRATO_ID],tbContratos[[#This Row],[CONTRATO_ID]],tbMedições[STATUS],"Pago")+SUMIFS(tbMedições[VALOR MEDIÇÃO],tbMedições[CONTRATO_ID],tbContratos[[#This Row],[CONTRATO_ID]],tbMedições[STATUS],"Medido")</calculatedColumnFormula>
    </tableColumn>
    <tableColumn id="10" xr3:uid="{05ADAB89-902F-49A4-9B46-443E4B30EC1F}" name="SALDO A MEDIR" dataDxfId="17">
      <calculatedColumnFormula>tbContratos[[#This Row],[VALOR CONTRATO]]-tbContratos[[#This Row],[VALOR MEDIDO]]</calculatedColumnFormula>
    </tableColumn>
    <tableColumn id="11" xr3:uid="{A3067259-192A-4613-88E0-3B0AD3F4727F}" name="PERCENTUAL MEDIDO" dataDxfId="16" dataCellStyle="Porcentagem">
      <calculatedColumnFormula>tbContratos[[#This Row],[VALOR MEDIDO]]/tbContratos[[#This Row],[VALOR CONTRATO]]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ABD525-54C7-4CC2-A478-0B320CBA7F8A}" name="tbMedições" displayName="tbMedições" ref="A1:N223" totalsRowShown="0" headerRowDxfId="15" dataDxfId="14">
  <autoFilter ref="A1:N223" xr:uid="{C5ABD525-54C7-4CC2-A478-0B320CBA7F8A}"/>
  <tableColumns count="14">
    <tableColumn id="1" xr3:uid="{C77C05EC-A2DD-4366-8D24-E0F947F49664}" name="Estudo preliminar" dataDxfId="13"/>
    <tableColumn id="2" xr3:uid="{02E889B2-366C-4E66-AF39-6F53EA7CA6A8}" name="CONTRATO_ID" dataDxfId="12">
      <calculatedColumnFormula array="1">_xlfn.XLOOKUP(tbMedições[[#This Row],[EMPRESA]]&amp;tbMedições[[#This Row],[OBRA]],tbContratos[EMPRESA]&amp;tbContratos[OBRA],tbContratos[CONTRATO_ID],"Não localizado")</calculatedColumnFormula>
    </tableColumn>
    <tableColumn id="3" xr3:uid="{499B5526-BBF5-4609-BE30-F828980876E3}" name="EMPRESA" dataDxfId="11"/>
    <tableColumn id="4" xr3:uid="{4DC78937-FC31-4809-ACBD-BEA075107001}" name="OBRA" dataDxfId="10"/>
    <tableColumn id="5" xr3:uid="{94DAD0E0-D4D1-420F-AFCD-404AC1EDEE11}" name="ETAPA" dataDxfId="9"/>
    <tableColumn id="6" xr3:uid="{9B1C35FF-272B-4FE0-AF7B-73FD47502AC5}" name="PERCENTUAL" dataDxfId="8"/>
    <tableColumn id="11" xr3:uid="{6D14EF19-16A0-4790-861C-DF5F4BBB4AF6}" name="DATA PREVISTA" dataDxfId="7"/>
    <tableColumn id="7" xr3:uid="{9A0BB333-13C9-493F-95E3-9DA948CBDF10}" name="DATA MEDIÇÃO" dataDxfId="6"/>
    <tableColumn id="13" xr3:uid="{FF119EBA-F0B0-4869-99BD-4DED5C3F81B4}" name="DATA REFERÊNCIA" dataDxfId="5">
      <calculatedColumnFormula>IF(tbMedições[[#This Row],[STATUS]]="Cancelada",DATE(1900,1,1),IF(OR(tbMedições[[#This Row],[STATUS]]="Pago",tbMedições[[#This Row],[STATUS]]="Medido"),tbMedições[[#This Row],[DATA MEDIÇÃO]],tbMedições[[#This Row],[DATA PREVISTA]]))</calculatedColumnFormula>
    </tableColumn>
    <tableColumn id="17" xr3:uid="{ABCB916F-EA00-4BCF-8C81-1A74C9F1B47A}" name="MÊS" dataDxfId="4">
      <calculatedColumnFormula>TEXT(tbMedições[[#This Row],[DATA REFERÊNCIA]],"aa/mm")</calculatedColumnFormula>
    </tableColumn>
    <tableColumn id="8" xr3:uid="{7BBAFFA7-5F8C-40A1-B722-68A904FD0CA7}" name="VALOR MEDIÇÃO" dataDxfId="3">
      <calculatedColumnFormula>_xlfn.XLOOKUP(tbMedições[[#This Row],[CONTRATO_ID]],tbContratos[CONTRATO_ID],tbContratos[VALOR CONTRATO],"Não encontrado")*tbMedições[[#This Row],[PERCENTUAL]]</calculatedColumnFormula>
    </tableColumn>
    <tableColumn id="9" xr3:uid="{ED6A1813-15CD-4BC5-96E5-36B870668AD9}" name="STATUS" dataDxfId="2"/>
    <tableColumn id="10" xr3:uid="{A25C7FCF-CFA4-486F-8069-F8911DD650BE}" name="NF" dataDxfId="1"/>
    <tableColumn id="12" xr3:uid="{959E528A-8C26-4755-8834-D8D500A3A556}" name="DATA PAGAMEN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D251-5BDE-49F5-9C2E-49C4101F2CCE}">
  <dimension ref="F2:J3"/>
  <sheetViews>
    <sheetView showGridLines="0" workbookViewId="0">
      <selection activeCell="O16" sqref="O16"/>
    </sheetView>
  </sheetViews>
  <sheetFormatPr defaultRowHeight="14.4" x14ac:dyDescent="0.3"/>
  <cols>
    <col min="6" max="8" width="15.5546875" bestFit="1" customWidth="1"/>
    <col min="9" max="9" width="14" bestFit="1" customWidth="1"/>
    <col min="10" max="10" width="15.5546875" bestFit="1" customWidth="1"/>
  </cols>
  <sheetData>
    <row r="2" spans="6:10" x14ac:dyDescent="0.3">
      <c r="F2" s="1" t="s">
        <v>670</v>
      </c>
      <c r="G2" s="1" t="s">
        <v>671</v>
      </c>
      <c r="H2" s="1" t="s">
        <v>672</v>
      </c>
      <c r="I2" s="1" t="s">
        <v>673</v>
      </c>
      <c r="J2" s="1" t="s">
        <v>662</v>
      </c>
    </row>
    <row r="3" spans="6:10" x14ac:dyDescent="0.3">
      <c r="F3" s="30">
        <f>GETPIVOTDATA("[Measures].[Soma de ORÇAMENTO BASE]",Cálculos!$B$1)</f>
        <v>871259.2</v>
      </c>
      <c r="G3" s="30">
        <f>GETPIVOTDATA("[Measures].[Soma de VALOR CONTRATADO]",Cálculos!$B$1)</f>
        <v>748921.2</v>
      </c>
      <c r="H3" s="30">
        <f>GETPIVOTDATA("[Measures].[Soma de SALDO A CONTRATAR]",Cálculos!$B$1)</f>
        <v>122338</v>
      </c>
      <c r="I3" s="30">
        <f>GETPIVOTDATA("[Measures].[Soma de VALOR MEDIDO]",Cálculos!$B$1)</f>
        <v>170452.99</v>
      </c>
      <c r="J3" s="30">
        <f>GETPIVOTDATA("[Measures].[Soma de SALDO MEDIÇÃO]",Cálculos!$B$1)</f>
        <v>578468.21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E882-D443-4AA0-B9D8-600409ED579C}">
  <dimension ref="A1:Z60"/>
  <sheetViews>
    <sheetView workbookViewId="0">
      <selection activeCell="B27" sqref="B27"/>
    </sheetView>
  </sheetViews>
  <sheetFormatPr defaultRowHeight="14.4" x14ac:dyDescent="0.3"/>
  <cols>
    <col min="1" max="2" width="18.5546875" customWidth="1"/>
    <col min="3" max="3" width="9.6640625" customWidth="1"/>
    <col min="4" max="4" width="12.109375" bestFit="1" customWidth="1"/>
    <col min="5" max="5" width="12" customWidth="1"/>
    <col min="7" max="7" width="17.88671875" bestFit="1" customWidth="1"/>
    <col min="8" max="8" width="19" bestFit="1" customWidth="1"/>
    <col min="9" max="9" width="19.77734375" bestFit="1" customWidth="1"/>
    <col min="11" max="11" width="17.88671875" bestFit="1" customWidth="1"/>
    <col min="12" max="12" width="19" bestFit="1" customWidth="1"/>
    <col min="13" max="13" width="19.77734375" bestFit="1" customWidth="1"/>
    <col min="14" max="14" width="31.33203125" bestFit="1" customWidth="1"/>
    <col min="15" max="15" width="23.33203125" bestFit="1" customWidth="1"/>
    <col min="17" max="17" width="19.77734375" bestFit="1" customWidth="1"/>
    <col min="18" max="18" width="14.109375" bestFit="1" customWidth="1"/>
    <col min="19" max="19" width="16.88671875" bestFit="1" customWidth="1"/>
    <col min="20" max="20" width="17.44140625" bestFit="1" customWidth="1"/>
    <col min="24" max="24" width="17.33203125" customWidth="1"/>
    <col min="26" max="26" width="16.5546875" customWidth="1"/>
  </cols>
  <sheetData>
    <row r="1" spans="1:26" x14ac:dyDescent="0.3">
      <c r="A1" s="5" t="s">
        <v>71</v>
      </c>
      <c r="B1" s="5" t="s">
        <v>44</v>
      </c>
      <c r="C1" s="5" t="s">
        <v>45</v>
      </c>
      <c r="D1" s="5" t="s">
        <v>51</v>
      </c>
      <c r="E1" s="5" t="s">
        <v>52</v>
      </c>
      <c r="G1" s="15" t="s">
        <v>102</v>
      </c>
      <c r="H1" s="15" t="s">
        <v>72</v>
      </c>
      <c r="I1" s="15" t="s">
        <v>176</v>
      </c>
      <c r="K1" s="1" t="s">
        <v>102</v>
      </c>
      <c r="L1" s="1" t="s">
        <v>72</v>
      </c>
      <c r="M1" s="1" t="s">
        <v>176</v>
      </c>
      <c r="N1" s="1" t="s">
        <v>73</v>
      </c>
      <c r="O1" s="1" t="s">
        <v>177</v>
      </c>
      <c r="Q1" s="1" t="s">
        <v>74</v>
      </c>
      <c r="R1" s="1" t="s">
        <v>349</v>
      </c>
      <c r="S1" s="1" t="s">
        <v>75</v>
      </c>
      <c r="T1" s="1" t="s">
        <v>76</v>
      </c>
      <c r="X1" t="s">
        <v>301</v>
      </c>
      <c r="Z1" s="24" t="s">
        <v>391</v>
      </c>
    </row>
    <row r="2" spans="1:26" x14ac:dyDescent="0.3">
      <c r="A2" s="5" t="s">
        <v>178</v>
      </c>
      <c r="B2" s="5">
        <v>29</v>
      </c>
      <c r="C2" s="5" t="s">
        <v>53</v>
      </c>
      <c r="D2" s="5" t="s">
        <v>62</v>
      </c>
      <c r="E2" s="5"/>
      <c r="G2" s="1" t="s">
        <v>188</v>
      </c>
      <c r="H2" s="13" t="s">
        <v>103</v>
      </c>
      <c r="I2" s="1" t="s">
        <v>139</v>
      </c>
      <c r="K2" s="1" t="s">
        <v>201</v>
      </c>
      <c r="L2" s="1" t="s">
        <v>103</v>
      </c>
      <c r="M2" s="1" t="s">
        <v>139</v>
      </c>
      <c r="N2" s="1" t="s">
        <v>113</v>
      </c>
      <c r="O2" s="1" t="s">
        <v>153</v>
      </c>
      <c r="Q2" s="1" t="s">
        <v>242</v>
      </c>
      <c r="R2" s="1">
        <v>2306</v>
      </c>
      <c r="S2" s="1" t="s">
        <v>97</v>
      </c>
      <c r="T2" s="1" t="s">
        <v>103</v>
      </c>
      <c r="X2" t="s">
        <v>40</v>
      </c>
      <c r="Z2" s="19" t="s">
        <v>664</v>
      </c>
    </row>
    <row r="3" spans="1:26" x14ac:dyDescent="0.3">
      <c r="A3" s="5" t="s">
        <v>179</v>
      </c>
      <c r="B3" s="5">
        <v>33</v>
      </c>
      <c r="C3" s="5" t="s">
        <v>54</v>
      </c>
      <c r="D3" s="5" t="s">
        <v>63</v>
      </c>
      <c r="E3" s="5"/>
      <c r="G3" s="1" t="s">
        <v>189</v>
      </c>
      <c r="H3" s="16" t="s">
        <v>91</v>
      </c>
      <c r="I3" s="1" t="s">
        <v>140</v>
      </c>
      <c r="K3" s="1" t="s">
        <v>202</v>
      </c>
      <c r="L3" s="1" t="s">
        <v>103</v>
      </c>
      <c r="M3" s="1" t="s">
        <v>139</v>
      </c>
      <c r="N3" s="1" t="s">
        <v>104</v>
      </c>
      <c r="O3" s="1" t="s">
        <v>154</v>
      </c>
      <c r="Q3" s="1" t="s">
        <v>243</v>
      </c>
      <c r="R3" s="1">
        <v>27</v>
      </c>
      <c r="S3" s="1" t="s">
        <v>80</v>
      </c>
      <c r="T3" s="1" t="s">
        <v>91</v>
      </c>
      <c r="X3" t="s">
        <v>303</v>
      </c>
      <c r="Z3" s="28" t="s">
        <v>394</v>
      </c>
    </row>
    <row r="4" spans="1:26" x14ac:dyDescent="0.3">
      <c r="A4" s="5" t="s">
        <v>180</v>
      </c>
      <c r="B4" s="5">
        <v>47</v>
      </c>
      <c r="C4" s="5" t="s">
        <v>47</v>
      </c>
      <c r="D4" s="5" t="s">
        <v>48</v>
      </c>
      <c r="E4" s="5"/>
      <c r="G4" s="1" t="s">
        <v>190</v>
      </c>
      <c r="H4" s="16" t="s">
        <v>35</v>
      </c>
      <c r="I4" s="1" t="s">
        <v>145</v>
      </c>
      <c r="K4" s="1" t="s">
        <v>203</v>
      </c>
      <c r="L4" s="1" t="s">
        <v>91</v>
      </c>
      <c r="M4" s="1" t="s">
        <v>140</v>
      </c>
      <c r="N4" s="1" t="s">
        <v>114</v>
      </c>
      <c r="O4" s="1" t="s">
        <v>155</v>
      </c>
      <c r="Q4" s="1" t="s">
        <v>244</v>
      </c>
      <c r="R4" s="1">
        <v>1532</v>
      </c>
      <c r="S4" s="1" t="s">
        <v>81</v>
      </c>
      <c r="T4" s="1" t="s">
        <v>35</v>
      </c>
      <c r="X4" t="s">
        <v>304</v>
      </c>
      <c r="Z4" s="20" t="s">
        <v>19</v>
      </c>
    </row>
    <row r="5" spans="1:26" x14ac:dyDescent="0.3">
      <c r="A5" s="5" t="s">
        <v>181</v>
      </c>
      <c r="B5" s="5">
        <v>53</v>
      </c>
      <c r="C5" s="5" t="s">
        <v>55</v>
      </c>
      <c r="D5" s="5" t="s">
        <v>64</v>
      </c>
      <c r="E5" s="5"/>
      <c r="G5" s="1" t="s">
        <v>191</v>
      </c>
      <c r="H5" s="16" t="s">
        <v>29</v>
      </c>
      <c r="I5" s="1" t="s">
        <v>146</v>
      </c>
      <c r="K5" s="1" t="s">
        <v>204</v>
      </c>
      <c r="L5" s="1" t="s">
        <v>91</v>
      </c>
      <c r="M5" s="1" t="s">
        <v>140</v>
      </c>
      <c r="N5" s="1" t="s">
        <v>115</v>
      </c>
      <c r="O5" s="1" t="s">
        <v>156</v>
      </c>
      <c r="Q5" s="1" t="s">
        <v>245</v>
      </c>
      <c r="R5" s="1">
        <v>2665</v>
      </c>
      <c r="S5" s="1" t="s">
        <v>82</v>
      </c>
      <c r="T5" s="1" t="s">
        <v>92</v>
      </c>
      <c r="X5" t="s">
        <v>302</v>
      </c>
      <c r="Z5" t="s">
        <v>20</v>
      </c>
    </row>
    <row r="6" spans="1:26" x14ac:dyDescent="0.3">
      <c r="A6" s="5" t="s">
        <v>182</v>
      </c>
      <c r="B6" s="5">
        <v>65</v>
      </c>
      <c r="C6" s="5" t="s">
        <v>56</v>
      </c>
      <c r="D6" s="5" t="s">
        <v>65</v>
      </c>
      <c r="E6" s="5"/>
      <c r="G6" s="1" t="s">
        <v>192</v>
      </c>
      <c r="H6" s="14" t="s">
        <v>23</v>
      </c>
      <c r="I6" s="1" t="s">
        <v>142</v>
      </c>
      <c r="K6" s="1" t="s">
        <v>205</v>
      </c>
      <c r="L6" s="1" t="s">
        <v>91</v>
      </c>
      <c r="M6" s="1" t="s">
        <v>140</v>
      </c>
      <c r="N6" s="1" t="s">
        <v>116</v>
      </c>
      <c r="O6" s="1" t="s">
        <v>157</v>
      </c>
      <c r="Q6" s="1" t="s">
        <v>246</v>
      </c>
      <c r="R6" s="1">
        <v>2859</v>
      </c>
      <c r="S6" s="1" t="s">
        <v>83</v>
      </c>
      <c r="T6" s="1" t="s">
        <v>21</v>
      </c>
      <c r="X6" t="s">
        <v>352</v>
      </c>
    </row>
    <row r="7" spans="1:26" x14ac:dyDescent="0.3">
      <c r="A7" s="5" t="s">
        <v>183</v>
      </c>
      <c r="B7" s="5">
        <v>71</v>
      </c>
      <c r="C7" s="5" t="s">
        <v>57</v>
      </c>
      <c r="D7" s="5" t="s">
        <v>66</v>
      </c>
      <c r="E7" s="5"/>
      <c r="G7" s="1" t="s">
        <v>193</v>
      </c>
      <c r="H7" s="16" t="s">
        <v>33</v>
      </c>
      <c r="I7" s="1" t="s">
        <v>143</v>
      </c>
      <c r="K7" s="1" t="s">
        <v>206</v>
      </c>
      <c r="L7" s="1" t="s">
        <v>91</v>
      </c>
      <c r="M7" s="1" t="s">
        <v>140</v>
      </c>
      <c r="N7" s="1" t="s">
        <v>105</v>
      </c>
      <c r="O7" s="1" t="s">
        <v>158</v>
      </c>
      <c r="Q7" s="1" t="s">
        <v>247</v>
      </c>
      <c r="R7" s="1">
        <v>2712</v>
      </c>
      <c r="S7" s="1" t="s">
        <v>84</v>
      </c>
      <c r="T7" s="1" t="s">
        <v>21</v>
      </c>
    </row>
    <row r="8" spans="1:26" x14ac:dyDescent="0.3">
      <c r="A8" s="5" t="s">
        <v>184</v>
      </c>
      <c r="B8" s="5">
        <v>77</v>
      </c>
      <c r="C8" s="5" t="s">
        <v>58</v>
      </c>
      <c r="D8" s="5" t="s">
        <v>67</v>
      </c>
      <c r="E8" s="5"/>
      <c r="G8" s="1" t="s">
        <v>194</v>
      </c>
      <c r="H8" s="14" t="s">
        <v>21</v>
      </c>
      <c r="I8" s="1" t="s">
        <v>144</v>
      </c>
      <c r="K8" s="1" t="s">
        <v>207</v>
      </c>
      <c r="L8" s="1" t="s">
        <v>91</v>
      </c>
      <c r="M8" s="1" t="s">
        <v>140</v>
      </c>
      <c r="N8" s="1" t="s">
        <v>342</v>
      </c>
      <c r="O8" s="1" t="s">
        <v>343</v>
      </c>
      <c r="Q8" s="1" t="s">
        <v>248</v>
      </c>
      <c r="R8" s="1">
        <v>125</v>
      </c>
      <c r="S8" s="1" t="s">
        <v>85</v>
      </c>
      <c r="T8" s="1" t="s">
        <v>23</v>
      </c>
    </row>
    <row r="9" spans="1:26" x14ac:dyDescent="0.3">
      <c r="A9" s="5" t="s">
        <v>185</v>
      </c>
      <c r="B9" s="5">
        <v>82</v>
      </c>
      <c r="C9" s="5" t="s">
        <v>59</v>
      </c>
      <c r="D9" s="5" t="s">
        <v>59</v>
      </c>
      <c r="E9" s="5"/>
      <c r="G9" s="1" t="s">
        <v>195</v>
      </c>
      <c r="H9" s="14" t="s">
        <v>41</v>
      </c>
      <c r="I9" s="1" t="s">
        <v>147</v>
      </c>
      <c r="K9" s="1" t="s">
        <v>208</v>
      </c>
      <c r="L9" s="1" t="s">
        <v>91</v>
      </c>
      <c r="M9" s="1" t="s">
        <v>140</v>
      </c>
      <c r="N9" s="1" t="s">
        <v>120</v>
      </c>
      <c r="O9" s="1" t="s">
        <v>155</v>
      </c>
      <c r="Q9" s="1" t="s">
        <v>249</v>
      </c>
      <c r="R9" s="1">
        <v>1763</v>
      </c>
      <c r="S9" s="1" t="s">
        <v>86</v>
      </c>
      <c r="T9" s="1" t="s">
        <v>33</v>
      </c>
    </row>
    <row r="10" spans="1:26" x14ac:dyDescent="0.3">
      <c r="A10" s="5" t="s">
        <v>186</v>
      </c>
      <c r="B10" s="5">
        <v>84</v>
      </c>
      <c r="C10" s="5" t="s">
        <v>61</v>
      </c>
      <c r="D10" s="5" t="s">
        <v>68</v>
      </c>
      <c r="E10" s="5"/>
      <c r="G10" s="1" t="s">
        <v>196</v>
      </c>
      <c r="H10" s="13" t="s">
        <v>42</v>
      </c>
      <c r="I10" s="1" t="s">
        <v>148</v>
      </c>
      <c r="K10" s="1" t="s">
        <v>224</v>
      </c>
      <c r="L10" s="1" t="s">
        <v>91</v>
      </c>
      <c r="M10" s="1" t="s">
        <v>140</v>
      </c>
      <c r="N10" s="1" t="s">
        <v>121</v>
      </c>
      <c r="O10" s="1" t="s">
        <v>344</v>
      </c>
      <c r="Q10" s="1" t="s">
        <v>250</v>
      </c>
      <c r="R10" s="1">
        <v>2691</v>
      </c>
      <c r="S10" s="1" t="s">
        <v>87</v>
      </c>
      <c r="T10" s="1" t="s">
        <v>91</v>
      </c>
    </row>
    <row r="11" spans="1:26" x14ac:dyDescent="0.3">
      <c r="A11" s="5" t="s">
        <v>187</v>
      </c>
      <c r="B11" s="5">
        <v>85</v>
      </c>
      <c r="C11" s="5" t="s">
        <v>60</v>
      </c>
      <c r="D11" s="5" t="s">
        <v>69</v>
      </c>
      <c r="E11" s="5"/>
      <c r="G11" s="1" t="s">
        <v>197</v>
      </c>
      <c r="H11" s="14" t="s">
        <v>125</v>
      </c>
      <c r="I11" s="1" t="s">
        <v>149</v>
      </c>
      <c r="K11" s="1" t="s">
        <v>209</v>
      </c>
      <c r="L11" s="1" t="s">
        <v>35</v>
      </c>
      <c r="M11" s="1" t="s">
        <v>145</v>
      </c>
      <c r="N11" s="1" t="s">
        <v>35</v>
      </c>
      <c r="O11" s="1" t="s">
        <v>145</v>
      </c>
      <c r="Q11" s="1" t="s">
        <v>251</v>
      </c>
      <c r="R11" s="1">
        <v>2739</v>
      </c>
      <c r="S11" s="1" t="s">
        <v>34</v>
      </c>
      <c r="T11" s="1" t="s">
        <v>35</v>
      </c>
    </row>
    <row r="12" spans="1:26" x14ac:dyDescent="0.3">
      <c r="G12" s="1" t="s">
        <v>198</v>
      </c>
      <c r="H12" s="13" t="s">
        <v>126</v>
      </c>
      <c r="I12" s="1" t="s">
        <v>150</v>
      </c>
      <c r="K12" s="1" t="s">
        <v>210</v>
      </c>
      <c r="L12" s="1" t="s">
        <v>35</v>
      </c>
      <c r="M12" s="1" t="s">
        <v>145</v>
      </c>
      <c r="N12" s="1" t="s">
        <v>106</v>
      </c>
      <c r="O12" s="1" t="s">
        <v>159</v>
      </c>
      <c r="Q12" s="1" t="s">
        <v>252</v>
      </c>
      <c r="R12" s="1">
        <v>2637</v>
      </c>
      <c r="S12" s="1" t="s">
        <v>88</v>
      </c>
      <c r="T12" s="1" t="s">
        <v>39</v>
      </c>
    </row>
    <row r="13" spans="1:26" x14ac:dyDescent="0.3">
      <c r="G13" s="1" t="s">
        <v>199</v>
      </c>
      <c r="H13" s="14" t="s">
        <v>39</v>
      </c>
      <c r="I13" s="1" t="s">
        <v>151</v>
      </c>
      <c r="K13" s="1" t="s">
        <v>211</v>
      </c>
      <c r="L13" s="1" t="s">
        <v>35</v>
      </c>
      <c r="M13" s="1" t="s">
        <v>145</v>
      </c>
      <c r="N13" s="1" t="s">
        <v>107</v>
      </c>
      <c r="O13" s="1" t="s">
        <v>160</v>
      </c>
      <c r="Q13" s="1" t="s">
        <v>253</v>
      </c>
      <c r="R13" s="1">
        <v>447</v>
      </c>
      <c r="S13" s="1" t="s">
        <v>89</v>
      </c>
      <c r="T13" s="1" t="s">
        <v>23</v>
      </c>
    </row>
    <row r="14" spans="1:26" x14ac:dyDescent="0.3">
      <c r="G14" s="1" t="s">
        <v>200</v>
      </c>
      <c r="H14" s="13" t="s">
        <v>127</v>
      </c>
      <c r="I14" s="1" t="s">
        <v>152</v>
      </c>
      <c r="K14" s="1" t="s">
        <v>212</v>
      </c>
      <c r="L14" s="1" t="s">
        <v>35</v>
      </c>
      <c r="M14" s="1" t="s">
        <v>145</v>
      </c>
      <c r="N14" s="1" t="s">
        <v>108</v>
      </c>
      <c r="O14" s="1" t="s">
        <v>141</v>
      </c>
      <c r="Q14" s="1" t="s">
        <v>254</v>
      </c>
      <c r="R14" s="1">
        <v>475</v>
      </c>
      <c r="S14" s="1" t="s">
        <v>90</v>
      </c>
      <c r="T14" s="1" t="s">
        <v>23</v>
      </c>
    </row>
    <row r="15" spans="1:26" x14ac:dyDescent="0.3">
      <c r="G15" s="1" t="s">
        <v>308</v>
      </c>
      <c r="H15" s="14" t="s">
        <v>25</v>
      </c>
      <c r="I15" s="1" t="s">
        <v>306</v>
      </c>
      <c r="K15" s="1" t="s">
        <v>213</v>
      </c>
      <c r="L15" s="1" t="s">
        <v>35</v>
      </c>
      <c r="M15" s="1" t="s">
        <v>145</v>
      </c>
      <c r="N15" s="1" t="s">
        <v>109</v>
      </c>
      <c r="O15" s="1" t="s">
        <v>109</v>
      </c>
      <c r="Q15" s="1" t="s">
        <v>255</v>
      </c>
      <c r="R15" s="1">
        <v>1062</v>
      </c>
      <c r="S15" s="1" t="s">
        <v>93</v>
      </c>
      <c r="T15" s="1" t="s">
        <v>103</v>
      </c>
    </row>
    <row r="16" spans="1:26" x14ac:dyDescent="0.3">
      <c r="G16" s="1" t="s">
        <v>309</v>
      </c>
      <c r="H16" s="14" t="s">
        <v>92</v>
      </c>
      <c r="I16" s="1" t="s">
        <v>307</v>
      </c>
      <c r="K16" s="1" t="s">
        <v>214</v>
      </c>
      <c r="L16" s="1" t="s">
        <v>35</v>
      </c>
      <c r="M16" s="1" t="s">
        <v>145</v>
      </c>
      <c r="N16" s="1" t="s">
        <v>110</v>
      </c>
      <c r="O16" s="1" t="s">
        <v>50</v>
      </c>
      <c r="Q16" s="1" t="s">
        <v>256</v>
      </c>
      <c r="R16" s="1">
        <v>663</v>
      </c>
      <c r="S16" s="1" t="s">
        <v>98</v>
      </c>
      <c r="T16" s="1" t="s">
        <v>29</v>
      </c>
    </row>
    <row r="17" spans="7:20" x14ac:dyDescent="0.3">
      <c r="G17" s="1" t="s">
        <v>339</v>
      </c>
      <c r="H17" s="14" t="s">
        <v>335</v>
      </c>
      <c r="I17" s="1" t="s">
        <v>336</v>
      </c>
      <c r="K17" s="1" t="s">
        <v>215</v>
      </c>
      <c r="L17" s="1" t="s">
        <v>35</v>
      </c>
      <c r="M17" s="1" t="s">
        <v>145</v>
      </c>
      <c r="N17" s="1" t="s">
        <v>111</v>
      </c>
      <c r="O17" s="1" t="s">
        <v>161</v>
      </c>
      <c r="Q17" s="1" t="s">
        <v>257</v>
      </c>
      <c r="R17" s="1">
        <v>2740</v>
      </c>
      <c r="S17" s="1" t="s">
        <v>99</v>
      </c>
      <c r="T17" s="1" t="s">
        <v>29</v>
      </c>
    </row>
    <row r="18" spans="7:20" x14ac:dyDescent="0.3">
      <c r="K18" s="1" t="s">
        <v>216</v>
      </c>
      <c r="L18" s="1" t="s">
        <v>35</v>
      </c>
      <c r="M18" s="1" t="s">
        <v>145</v>
      </c>
      <c r="N18" s="1" t="s">
        <v>112</v>
      </c>
      <c r="O18" s="1" t="s">
        <v>162</v>
      </c>
      <c r="Q18" s="1" t="s">
        <v>258</v>
      </c>
      <c r="R18" s="1">
        <v>2778</v>
      </c>
      <c r="S18" s="1" t="s">
        <v>94</v>
      </c>
      <c r="T18" s="1" t="s">
        <v>25</v>
      </c>
    </row>
    <row r="19" spans="7:20" x14ac:dyDescent="0.3">
      <c r="K19" s="1" t="s">
        <v>217</v>
      </c>
      <c r="L19" s="1" t="s">
        <v>35</v>
      </c>
      <c r="M19" s="1" t="s">
        <v>145</v>
      </c>
      <c r="N19" s="1" t="s">
        <v>117</v>
      </c>
      <c r="O19" s="1" t="s">
        <v>163</v>
      </c>
      <c r="Q19" s="1" t="s">
        <v>259</v>
      </c>
      <c r="R19" s="1">
        <v>844</v>
      </c>
      <c r="S19" s="1" t="s">
        <v>100</v>
      </c>
      <c r="T19" s="1" t="s">
        <v>25</v>
      </c>
    </row>
    <row r="20" spans="7:20" x14ac:dyDescent="0.3">
      <c r="K20" s="1" t="s">
        <v>218</v>
      </c>
      <c r="L20" s="1" t="s">
        <v>35</v>
      </c>
      <c r="M20" s="1" t="s">
        <v>145</v>
      </c>
      <c r="N20" s="1" t="s">
        <v>118</v>
      </c>
      <c r="O20" s="1" t="s">
        <v>164</v>
      </c>
      <c r="Q20" s="1" t="s">
        <v>260</v>
      </c>
      <c r="R20" s="1">
        <v>60</v>
      </c>
      <c r="S20" s="1" t="s">
        <v>95</v>
      </c>
      <c r="T20" s="1" t="s">
        <v>25</v>
      </c>
    </row>
    <row r="21" spans="7:20" x14ac:dyDescent="0.3">
      <c r="K21" s="1" t="s">
        <v>219</v>
      </c>
      <c r="L21" s="1" t="s">
        <v>35</v>
      </c>
      <c r="M21" s="1" t="s">
        <v>145</v>
      </c>
      <c r="N21" s="1" t="s">
        <v>124</v>
      </c>
      <c r="O21" s="1" t="s">
        <v>165</v>
      </c>
      <c r="Q21" s="1" t="s">
        <v>261</v>
      </c>
      <c r="R21" s="1">
        <v>370</v>
      </c>
      <c r="S21" s="1" t="s">
        <v>37</v>
      </c>
      <c r="T21" s="1" t="s">
        <v>25</v>
      </c>
    </row>
    <row r="22" spans="7:20" x14ac:dyDescent="0.3">
      <c r="K22" s="1" t="s">
        <v>220</v>
      </c>
      <c r="L22" s="1" t="s">
        <v>35</v>
      </c>
      <c r="M22" s="1" t="s">
        <v>145</v>
      </c>
      <c r="N22" s="1" t="s">
        <v>123</v>
      </c>
      <c r="O22" s="1" t="s">
        <v>166</v>
      </c>
      <c r="Q22" s="1" t="s">
        <v>262</v>
      </c>
      <c r="R22" s="1">
        <v>1942</v>
      </c>
      <c r="S22" s="1" t="s">
        <v>36</v>
      </c>
      <c r="T22" s="1" t="s">
        <v>25</v>
      </c>
    </row>
    <row r="23" spans="7:20" x14ac:dyDescent="0.3">
      <c r="K23" s="1" t="s">
        <v>221</v>
      </c>
      <c r="L23" s="1" t="s">
        <v>29</v>
      </c>
      <c r="M23" s="1" t="s">
        <v>146</v>
      </c>
      <c r="N23" s="1" t="s">
        <v>29</v>
      </c>
      <c r="O23" s="1" t="s">
        <v>146</v>
      </c>
      <c r="Q23" s="1" t="s">
        <v>263</v>
      </c>
      <c r="R23" s="1">
        <v>1653</v>
      </c>
      <c r="S23" s="1" t="s">
        <v>38</v>
      </c>
      <c r="T23" s="1" t="s">
        <v>25</v>
      </c>
    </row>
    <row r="24" spans="7:20" x14ac:dyDescent="0.3">
      <c r="K24" s="1" t="s">
        <v>222</v>
      </c>
      <c r="L24" s="1" t="s">
        <v>23</v>
      </c>
      <c r="M24" s="1" t="s">
        <v>142</v>
      </c>
      <c r="N24" s="1" t="s">
        <v>23</v>
      </c>
      <c r="O24" s="1" t="s">
        <v>142</v>
      </c>
      <c r="Q24" s="1" t="s">
        <v>264</v>
      </c>
      <c r="R24" s="1">
        <v>2</v>
      </c>
      <c r="S24" s="1" t="s">
        <v>96</v>
      </c>
      <c r="T24" s="1" t="s">
        <v>25</v>
      </c>
    </row>
    <row r="25" spans="7:20" x14ac:dyDescent="0.3">
      <c r="K25" s="1" t="s">
        <v>223</v>
      </c>
      <c r="L25" s="1" t="s">
        <v>33</v>
      </c>
      <c r="M25" s="1" t="s">
        <v>143</v>
      </c>
      <c r="N25" s="1" t="s">
        <v>119</v>
      </c>
      <c r="O25" s="1" t="s">
        <v>167</v>
      </c>
      <c r="Q25" s="1" t="s">
        <v>641</v>
      </c>
      <c r="R25" s="1"/>
      <c r="S25" s="1" t="s">
        <v>640</v>
      </c>
      <c r="T25" s="1" t="s">
        <v>25</v>
      </c>
    </row>
    <row r="26" spans="7:20" x14ac:dyDescent="0.3">
      <c r="K26" s="1" t="s">
        <v>225</v>
      </c>
      <c r="L26" s="1" t="s">
        <v>21</v>
      </c>
      <c r="M26" s="1" t="s">
        <v>144</v>
      </c>
      <c r="N26" s="1" t="s">
        <v>21</v>
      </c>
      <c r="O26" s="1" t="s">
        <v>144</v>
      </c>
    </row>
    <row r="27" spans="7:20" x14ac:dyDescent="0.3">
      <c r="K27" s="1" t="s">
        <v>226</v>
      </c>
      <c r="L27" s="1" t="s">
        <v>21</v>
      </c>
      <c r="M27" s="1" t="s">
        <v>144</v>
      </c>
      <c r="N27" s="1" t="s">
        <v>122</v>
      </c>
      <c r="O27" s="1" t="s">
        <v>168</v>
      </c>
    </row>
    <row r="28" spans="7:20" x14ac:dyDescent="0.3">
      <c r="K28" s="1" t="s">
        <v>227</v>
      </c>
      <c r="L28" s="1" t="s">
        <v>41</v>
      </c>
      <c r="M28" s="1" t="s">
        <v>147</v>
      </c>
      <c r="N28" s="1" t="s">
        <v>41</v>
      </c>
      <c r="O28" s="1" t="s">
        <v>147</v>
      </c>
    </row>
    <row r="29" spans="7:20" x14ac:dyDescent="0.3">
      <c r="K29" s="1" t="s">
        <v>228</v>
      </c>
      <c r="L29" s="1" t="s">
        <v>42</v>
      </c>
      <c r="M29" s="1" t="s">
        <v>148</v>
      </c>
      <c r="N29" s="1" t="s">
        <v>42</v>
      </c>
      <c r="O29" s="1" t="s">
        <v>148</v>
      </c>
    </row>
    <row r="30" spans="7:20" x14ac:dyDescent="0.3">
      <c r="K30" s="1" t="s">
        <v>229</v>
      </c>
      <c r="L30" s="1" t="s">
        <v>125</v>
      </c>
      <c r="M30" s="1" t="s">
        <v>149</v>
      </c>
      <c r="N30" s="1" t="s">
        <v>125</v>
      </c>
      <c r="O30" s="1" t="s">
        <v>149</v>
      </c>
    </row>
    <row r="31" spans="7:20" x14ac:dyDescent="0.3">
      <c r="K31" s="1" t="s">
        <v>230</v>
      </c>
      <c r="L31" s="1" t="s">
        <v>126</v>
      </c>
      <c r="M31" s="1" t="s">
        <v>150</v>
      </c>
      <c r="N31" s="1" t="s">
        <v>126</v>
      </c>
      <c r="O31" s="1" t="s">
        <v>43</v>
      </c>
    </row>
    <row r="32" spans="7:20" x14ac:dyDescent="0.3">
      <c r="K32" s="1" t="s">
        <v>231</v>
      </c>
      <c r="L32" s="1" t="s">
        <v>39</v>
      </c>
      <c r="M32" s="1" t="s">
        <v>151</v>
      </c>
      <c r="N32" s="1" t="s">
        <v>39</v>
      </c>
      <c r="O32" s="1" t="s">
        <v>151</v>
      </c>
    </row>
    <row r="33" spans="11:15" x14ac:dyDescent="0.3">
      <c r="K33" s="1" t="s">
        <v>232</v>
      </c>
      <c r="L33" s="1" t="s">
        <v>39</v>
      </c>
      <c r="M33" s="1" t="s">
        <v>151</v>
      </c>
      <c r="N33" s="1" t="s">
        <v>573</v>
      </c>
      <c r="O33" s="1" t="s">
        <v>574</v>
      </c>
    </row>
    <row r="34" spans="11:15" x14ac:dyDescent="0.3">
      <c r="K34" s="1" t="s">
        <v>233</v>
      </c>
      <c r="L34" s="1" t="s">
        <v>127</v>
      </c>
      <c r="M34" s="1" t="s">
        <v>152</v>
      </c>
      <c r="N34" s="1" t="s">
        <v>128</v>
      </c>
      <c r="O34" s="1" t="s">
        <v>169</v>
      </c>
    </row>
    <row r="35" spans="11:15" x14ac:dyDescent="0.3">
      <c r="K35" s="1" t="s">
        <v>234</v>
      </c>
      <c r="L35" s="1" t="s">
        <v>127</v>
      </c>
      <c r="M35" s="1" t="s">
        <v>152</v>
      </c>
      <c r="N35" s="1" t="s">
        <v>129</v>
      </c>
      <c r="O35" s="1" t="s">
        <v>170</v>
      </c>
    </row>
    <row r="36" spans="11:15" x14ac:dyDescent="0.3">
      <c r="K36" s="1" t="s">
        <v>235</v>
      </c>
      <c r="L36" s="1" t="s">
        <v>127</v>
      </c>
      <c r="M36" s="1" t="s">
        <v>152</v>
      </c>
      <c r="N36" s="1" t="s">
        <v>130</v>
      </c>
      <c r="O36" s="1" t="s">
        <v>169</v>
      </c>
    </row>
    <row r="37" spans="11:15" x14ac:dyDescent="0.3">
      <c r="K37" s="1" t="s">
        <v>236</v>
      </c>
      <c r="L37" s="1" t="s">
        <v>127</v>
      </c>
      <c r="M37" s="1" t="s">
        <v>152</v>
      </c>
      <c r="N37" s="1" t="s">
        <v>131</v>
      </c>
      <c r="O37" s="1" t="s">
        <v>169</v>
      </c>
    </row>
    <row r="38" spans="11:15" x14ac:dyDescent="0.3">
      <c r="K38" s="1" t="s">
        <v>237</v>
      </c>
      <c r="L38" s="1" t="s">
        <v>127</v>
      </c>
      <c r="M38" s="1" t="s">
        <v>152</v>
      </c>
      <c r="N38" s="1" t="s">
        <v>132</v>
      </c>
      <c r="O38" s="1" t="s">
        <v>169</v>
      </c>
    </row>
    <row r="39" spans="11:15" x14ac:dyDescent="0.3">
      <c r="K39" s="1" t="s">
        <v>238</v>
      </c>
      <c r="L39" s="1" t="s">
        <v>127</v>
      </c>
      <c r="M39" s="1" t="s">
        <v>152</v>
      </c>
      <c r="N39" s="1" t="s">
        <v>133</v>
      </c>
      <c r="O39" s="1" t="s">
        <v>170</v>
      </c>
    </row>
    <row r="40" spans="11:15" x14ac:dyDescent="0.3">
      <c r="K40" s="1" t="s">
        <v>239</v>
      </c>
      <c r="L40" s="1" t="s">
        <v>127</v>
      </c>
      <c r="M40" s="1" t="s">
        <v>152</v>
      </c>
      <c r="N40" s="1" t="s">
        <v>134</v>
      </c>
      <c r="O40" s="1" t="s">
        <v>171</v>
      </c>
    </row>
    <row r="41" spans="11:15" x14ac:dyDescent="0.3">
      <c r="K41" s="1" t="s">
        <v>240</v>
      </c>
      <c r="L41" s="1" t="s">
        <v>127</v>
      </c>
      <c r="M41" s="1" t="s">
        <v>152</v>
      </c>
      <c r="N41" s="1" t="s">
        <v>135</v>
      </c>
      <c r="O41" s="1" t="s">
        <v>172</v>
      </c>
    </row>
    <row r="42" spans="11:15" x14ac:dyDescent="0.3">
      <c r="K42" s="1" t="s">
        <v>241</v>
      </c>
      <c r="L42" s="1" t="s">
        <v>127</v>
      </c>
      <c r="M42" s="1" t="s">
        <v>152</v>
      </c>
      <c r="N42" s="1" t="s">
        <v>136</v>
      </c>
      <c r="O42" s="1" t="s">
        <v>173</v>
      </c>
    </row>
    <row r="43" spans="11:15" x14ac:dyDescent="0.3">
      <c r="K43" s="1" t="s">
        <v>305</v>
      </c>
      <c r="L43" s="1" t="s">
        <v>127</v>
      </c>
      <c r="M43" s="1" t="s">
        <v>152</v>
      </c>
      <c r="N43" s="1" t="s">
        <v>137</v>
      </c>
      <c r="O43" s="1" t="s">
        <v>174</v>
      </c>
    </row>
    <row r="44" spans="11:15" x14ac:dyDescent="0.3">
      <c r="K44" s="1" t="s">
        <v>315</v>
      </c>
      <c r="L44" s="1" t="s">
        <v>127</v>
      </c>
      <c r="M44" s="1" t="s">
        <v>152</v>
      </c>
      <c r="N44" s="1" t="s">
        <v>138</v>
      </c>
      <c r="O44" s="1" t="s">
        <v>175</v>
      </c>
    </row>
    <row r="45" spans="11:15" x14ac:dyDescent="0.3">
      <c r="K45" s="1" t="s">
        <v>316</v>
      </c>
      <c r="L45" s="1" t="s">
        <v>127</v>
      </c>
      <c r="M45" s="1" t="s">
        <v>152</v>
      </c>
      <c r="N45" s="1" t="s">
        <v>345</v>
      </c>
      <c r="O45" s="1" t="s">
        <v>346</v>
      </c>
    </row>
    <row r="46" spans="11:15" x14ac:dyDescent="0.3">
      <c r="K46" s="1" t="s">
        <v>317</v>
      </c>
      <c r="L46" s="1" t="s">
        <v>25</v>
      </c>
      <c r="M46" s="1" t="s">
        <v>306</v>
      </c>
      <c r="N46" s="1" t="s">
        <v>25</v>
      </c>
      <c r="O46" s="1" t="s">
        <v>306</v>
      </c>
    </row>
    <row r="47" spans="11:15" x14ac:dyDescent="0.3">
      <c r="K47" s="1" t="s">
        <v>318</v>
      </c>
      <c r="L47" s="1" t="s">
        <v>25</v>
      </c>
      <c r="M47" s="1" t="s">
        <v>306</v>
      </c>
      <c r="N47" s="1" t="s">
        <v>24</v>
      </c>
      <c r="O47" s="1" t="s">
        <v>141</v>
      </c>
    </row>
    <row r="48" spans="11:15" x14ac:dyDescent="0.3">
      <c r="K48" s="1" t="s">
        <v>319</v>
      </c>
      <c r="L48" s="1" t="s">
        <v>25</v>
      </c>
      <c r="M48" s="1" t="s">
        <v>306</v>
      </c>
      <c r="N48" s="1" t="s">
        <v>347</v>
      </c>
      <c r="O48" s="1" t="s">
        <v>348</v>
      </c>
    </row>
    <row r="49" spans="11:15" x14ac:dyDescent="0.3">
      <c r="K49" s="1" t="s">
        <v>320</v>
      </c>
      <c r="L49" s="1" t="s">
        <v>25</v>
      </c>
      <c r="M49" s="1" t="s">
        <v>306</v>
      </c>
      <c r="N49" s="1" t="s">
        <v>310</v>
      </c>
      <c r="O49" s="1" t="s">
        <v>329</v>
      </c>
    </row>
    <row r="50" spans="11:15" x14ac:dyDescent="0.3">
      <c r="K50" s="1" t="s">
        <v>321</v>
      </c>
      <c r="L50" s="1" t="s">
        <v>25</v>
      </c>
      <c r="M50" s="1" t="s">
        <v>306</v>
      </c>
      <c r="N50" s="1" t="s">
        <v>18</v>
      </c>
      <c r="O50" s="1" t="s">
        <v>18</v>
      </c>
    </row>
    <row r="51" spans="11:15" x14ac:dyDescent="0.3">
      <c r="K51" s="1" t="s">
        <v>322</v>
      </c>
      <c r="L51" s="1" t="s">
        <v>25</v>
      </c>
      <c r="M51" s="1" t="s">
        <v>306</v>
      </c>
      <c r="N51" s="1" t="s">
        <v>26</v>
      </c>
      <c r="O51" s="1" t="s">
        <v>26</v>
      </c>
    </row>
    <row r="52" spans="11:15" x14ac:dyDescent="0.3">
      <c r="K52" s="1" t="s">
        <v>326</v>
      </c>
      <c r="L52" s="1" t="s">
        <v>25</v>
      </c>
      <c r="M52" s="1" t="s">
        <v>306</v>
      </c>
      <c r="N52" s="1" t="s">
        <v>311</v>
      </c>
      <c r="O52" s="1" t="s">
        <v>330</v>
      </c>
    </row>
    <row r="53" spans="11:15" x14ac:dyDescent="0.3">
      <c r="K53" s="1" t="s">
        <v>327</v>
      </c>
      <c r="L53" s="1" t="s">
        <v>25</v>
      </c>
      <c r="M53" s="1" t="s">
        <v>306</v>
      </c>
      <c r="N53" s="1" t="s">
        <v>312</v>
      </c>
      <c r="O53" s="1" t="s">
        <v>331</v>
      </c>
    </row>
    <row r="54" spans="11:15" x14ac:dyDescent="0.3">
      <c r="K54" s="1" t="s">
        <v>328</v>
      </c>
      <c r="L54" s="1" t="s">
        <v>25</v>
      </c>
      <c r="M54" s="1" t="s">
        <v>306</v>
      </c>
      <c r="N54" s="1" t="s">
        <v>313</v>
      </c>
      <c r="O54" s="1" t="s">
        <v>313</v>
      </c>
    </row>
    <row r="55" spans="11:15" x14ac:dyDescent="0.3">
      <c r="K55" s="1" t="s">
        <v>337</v>
      </c>
      <c r="L55" s="1" t="s">
        <v>25</v>
      </c>
      <c r="M55" s="1" t="s">
        <v>306</v>
      </c>
      <c r="N55" s="1" t="s">
        <v>314</v>
      </c>
      <c r="O55" s="1" t="s">
        <v>334</v>
      </c>
    </row>
    <row r="56" spans="11:15" x14ac:dyDescent="0.3">
      <c r="K56" s="1" t="s">
        <v>338</v>
      </c>
      <c r="L56" s="1" t="s">
        <v>92</v>
      </c>
      <c r="M56" s="1" t="s">
        <v>307</v>
      </c>
      <c r="N56" s="1" t="s">
        <v>323</v>
      </c>
      <c r="O56" s="1" t="s">
        <v>332</v>
      </c>
    </row>
    <row r="57" spans="11:15" x14ac:dyDescent="0.3">
      <c r="K57" s="1" t="s">
        <v>340</v>
      </c>
      <c r="L57" s="1" t="s">
        <v>92</v>
      </c>
      <c r="M57" s="1" t="s">
        <v>307</v>
      </c>
      <c r="N57" s="1" t="s">
        <v>324</v>
      </c>
      <c r="O57" s="1" t="s">
        <v>163</v>
      </c>
    </row>
    <row r="58" spans="11:15" x14ac:dyDescent="0.3">
      <c r="K58" s="1" t="s">
        <v>341</v>
      </c>
      <c r="L58" s="1" t="s">
        <v>92</v>
      </c>
      <c r="M58" s="1" t="s">
        <v>307</v>
      </c>
      <c r="N58" s="1" t="s">
        <v>325</v>
      </c>
      <c r="O58" s="1" t="s">
        <v>333</v>
      </c>
    </row>
    <row r="59" spans="11:15" x14ac:dyDescent="0.3">
      <c r="K59" s="1" t="s">
        <v>575</v>
      </c>
      <c r="L59" s="1" t="s">
        <v>335</v>
      </c>
      <c r="M59" s="1" t="s">
        <v>336</v>
      </c>
      <c r="N59" s="1" t="s">
        <v>324</v>
      </c>
      <c r="O59" s="1" t="s">
        <v>163</v>
      </c>
    </row>
    <row r="60" spans="11:15" x14ac:dyDescent="0.3">
      <c r="K60" s="1" t="s">
        <v>576</v>
      </c>
      <c r="L60" s="1" t="s">
        <v>335</v>
      </c>
      <c r="M60" s="1" t="s">
        <v>336</v>
      </c>
      <c r="N60" s="1" t="s">
        <v>325</v>
      </c>
      <c r="O60" s="1" t="s">
        <v>333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F494-070D-4046-BF63-96F480DDBD92}">
  <dimension ref="B1:F21"/>
  <sheetViews>
    <sheetView workbookViewId="0">
      <selection activeCell="C9" sqref="C9"/>
    </sheetView>
  </sheetViews>
  <sheetFormatPr defaultRowHeight="14.4" x14ac:dyDescent="0.3"/>
  <cols>
    <col min="2" max="2" width="17.21875" bestFit="1" customWidth="1"/>
    <col min="3" max="3" width="14.109375" bestFit="1" customWidth="1"/>
    <col min="4" max="4" width="14" bestFit="1" customWidth="1"/>
    <col min="5" max="5" width="22.44140625" bestFit="1" customWidth="1"/>
    <col min="6" max="6" width="23.44140625" bestFit="1" customWidth="1"/>
  </cols>
  <sheetData>
    <row r="1" spans="2:6" x14ac:dyDescent="0.3">
      <c r="B1" t="s">
        <v>698</v>
      </c>
      <c r="C1" t="s">
        <v>661</v>
      </c>
      <c r="D1" t="s">
        <v>667</v>
      </c>
      <c r="E1" t="s">
        <v>668</v>
      </c>
      <c r="F1" t="s">
        <v>699</v>
      </c>
    </row>
    <row r="2" spans="2:6" x14ac:dyDescent="0.3">
      <c r="B2" s="10">
        <v>871259.2</v>
      </c>
      <c r="C2" s="10">
        <v>748921.2</v>
      </c>
      <c r="D2" s="10">
        <v>122338</v>
      </c>
      <c r="E2" s="10">
        <v>170452.99</v>
      </c>
      <c r="F2" s="10">
        <v>578468.21</v>
      </c>
    </row>
    <row r="7" spans="2:6" x14ac:dyDescent="0.3">
      <c r="B7" s="11" t="s">
        <v>27</v>
      </c>
      <c r="C7" s="10" t="s">
        <v>700</v>
      </c>
      <c r="D7" s="10" t="s">
        <v>701</v>
      </c>
    </row>
    <row r="8" spans="2:6" x14ac:dyDescent="0.3">
      <c r="B8" s="6" t="s">
        <v>689</v>
      </c>
      <c r="C8" s="10">
        <v>45000</v>
      </c>
      <c r="D8" s="10">
        <v>45000</v>
      </c>
    </row>
    <row r="9" spans="2:6" x14ac:dyDescent="0.3">
      <c r="B9" s="6" t="s">
        <v>679</v>
      </c>
      <c r="C9" s="10">
        <v>2850</v>
      </c>
      <c r="D9" s="10">
        <v>47850</v>
      </c>
    </row>
    <row r="10" spans="2:6" x14ac:dyDescent="0.3">
      <c r="B10" s="6" t="s">
        <v>680</v>
      </c>
      <c r="C10" s="10">
        <v>9993</v>
      </c>
      <c r="D10" s="10">
        <v>57843</v>
      </c>
    </row>
    <row r="11" spans="2:6" x14ac:dyDescent="0.3">
      <c r="B11" s="6" t="s">
        <v>684</v>
      </c>
      <c r="C11" s="10">
        <v>9993</v>
      </c>
      <c r="D11" s="10">
        <v>67836</v>
      </c>
    </row>
    <row r="12" spans="2:6" x14ac:dyDescent="0.3">
      <c r="B12" s="6" t="s">
        <v>691</v>
      </c>
      <c r="C12" s="10">
        <v>3399.6599999999994</v>
      </c>
      <c r="D12" s="10">
        <v>71235.66</v>
      </c>
    </row>
    <row r="13" spans="2:6" x14ac:dyDescent="0.3">
      <c r="B13" s="6" t="s">
        <v>681</v>
      </c>
      <c r="C13" s="10">
        <v>65138.710000000006</v>
      </c>
      <c r="D13" s="10">
        <v>136374.37</v>
      </c>
    </row>
    <row r="14" spans="2:6" x14ac:dyDescent="0.3">
      <c r="B14" s="6" t="s">
        <v>685</v>
      </c>
      <c r="C14" s="10">
        <v>79078.62</v>
      </c>
      <c r="D14" s="10">
        <v>215452.99</v>
      </c>
    </row>
    <row r="15" spans="2:6" x14ac:dyDescent="0.3">
      <c r="B15" s="6" t="s">
        <v>682</v>
      </c>
      <c r="C15" s="10">
        <v>34661</v>
      </c>
      <c r="D15" s="10">
        <v>250113.99</v>
      </c>
    </row>
    <row r="16" spans="2:6" x14ac:dyDescent="0.3">
      <c r="B16" s="6" t="s">
        <v>683</v>
      </c>
      <c r="C16" s="10">
        <v>55953</v>
      </c>
      <c r="D16" s="10">
        <v>306066.99</v>
      </c>
    </row>
    <row r="17" spans="2:4" x14ac:dyDescent="0.3">
      <c r="B17" s="6" t="s">
        <v>686</v>
      </c>
      <c r="C17" s="10">
        <v>58037.229999999996</v>
      </c>
      <c r="D17" s="10">
        <v>364104.22</v>
      </c>
    </row>
    <row r="18" spans="2:4" x14ac:dyDescent="0.3">
      <c r="B18" s="6" t="s">
        <v>687</v>
      </c>
      <c r="C18" s="10">
        <v>39179</v>
      </c>
      <c r="D18" s="10">
        <v>403283.22</v>
      </c>
    </row>
    <row r="19" spans="2:4" x14ac:dyDescent="0.3">
      <c r="B19" s="6" t="s">
        <v>688</v>
      </c>
      <c r="C19" s="10">
        <v>41915</v>
      </c>
      <c r="D19" s="10">
        <v>445198.22</v>
      </c>
    </row>
    <row r="20" spans="2:4" x14ac:dyDescent="0.3">
      <c r="B20" s="6" t="s">
        <v>694</v>
      </c>
      <c r="C20" s="10">
        <v>6490</v>
      </c>
      <c r="D20" s="10">
        <v>451688.22</v>
      </c>
    </row>
    <row r="21" spans="2:4" x14ac:dyDescent="0.3">
      <c r="B21" s="6" t="s">
        <v>28</v>
      </c>
      <c r="C21" s="29">
        <v>451688.22</v>
      </c>
      <c r="D21" s="2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F44E-DD8E-4B76-871F-4035098079C3}">
  <dimension ref="A1:J111"/>
  <sheetViews>
    <sheetView workbookViewId="0">
      <selection activeCell="B8" sqref="B8"/>
    </sheetView>
  </sheetViews>
  <sheetFormatPr defaultRowHeight="14.4" x14ac:dyDescent="0.3"/>
  <cols>
    <col min="2" max="2" width="13.88671875" bestFit="1" customWidth="1"/>
    <col min="3" max="3" width="19" bestFit="1" customWidth="1"/>
    <col min="4" max="4" width="23.6640625" bestFit="1" customWidth="1"/>
    <col min="5" max="5" width="19.88671875" bestFit="1" customWidth="1"/>
    <col min="6" max="9" width="19.88671875" customWidth="1"/>
    <col min="10" max="10" width="13.109375" bestFit="1" customWidth="1"/>
  </cols>
  <sheetData>
    <row r="1" spans="1:10" x14ac:dyDescent="0.3">
      <c r="A1" s="5" t="s">
        <v>46</v>
      </c>
      <c r="B1" s="5" t="s">
        <v>300</v>
      </c>
      <c r="C1" s="5" t="s">
        <v>72</v>
      </c>
      <c r="D1" s="5" t="s">
        <v>73</v>
      </c>
      <c r="E1" s="5" t="s">
        <v>298</v>
      </c>
      <c r="F1" s="5" t="s">
        <v>79</v>
      </c>
      <c r="G1" s="5" t="s">
        <v>665</v>
      </c>
      <c r="H1" s="5" t="s">
        <v>381</v>
      </c>
      <c r="I1" s="5" t="s">
        <v>666</v>
      </c>
      <c r="J1" s="5" t="s">
        <v>299</v>
      </c>
    </row>
    <row r="2" spans="1:10" x14ac:dyDescent="0.3">
      <c r="A2" s="5" t="s">
        <v>47</v>
      </c>
      <c r="B2" s="5" t="str">
        <f>_xlfn.XLOOKUP(tbOrçamento[[#This Row],[OBRA]],tbObras[CÓDIGO],tbObras[NOME],"Não encontrado",0)</f>
        <v>Altamira</v>
      </c>
      <c r="C2" s="5" t="s">
        <v>23</v>
      </c>
      <c r="D2" s="5" t="s">
        <v>23</v>
      </c>
      <c r="E2" s="17">
        <v>56000</v>
      </c>
      <c r="F2" s="17">
        <f>SUMIFS(tbContratos[VALOR CONTRATO],tbContratos[OBRA],tbOrçamento[[#This Row],[OBRA]],tbContratos[SUBDISCIPLINA],tbOrçamento[[#This Row],[SUBDISCIPLINA]])</f>
        <v>21880.65</v>
      </c>
      <c r="G2" s="17">
        <f>tbOrçamento[[#This Row],[ORÇAMENTO BASE ]]-tbOrçamento[[#This Row],[VALOR CONTRATADO]]</f>
        <v>34119.35</v>
      </c>
      <c r="H2" s="17">
        <f>SUMIFS(tbContratos[VALOR MEDIDO],tbContratos[OBRA],tbOrçamento[[#This Row],[OBRA]],tbContratos[SUBDISCIPLINA],tbOrçamento[[#This Row],[SUBDISCIPLINA]])</f>
        <v>21880.65</v>
      </c>
      <c r="I2" s="17">
        <f>tbOrçamento[[#This Row],[VALOR CONTRATADO]]-tbOrçamento[[#This Row],[VALOR MEDIDO]]</f>
        <v>0</v>
      </c>
      <c r="J2" s="5" t="s">
        <v>302</v>
      </c>
    </row>
    <row r="3" spans="1:10" x14ac:dyDescent="0.3">
      <c r="A3" s="5" t="s">
        <v>47</v>
      </c>
      <c r="B3" s="5" t="str">
        <f>_xlfn.XLOOKUP(tbOrçamento[[#This Row],[OBRA]],tbObras[CÓDIGO],tbObras[NOME],"Não encontrado",0)</f>
        <v>Altamira</v>
      </c>
      <c r="C3" s="5" t="s">
        <v>29</v>
      </c>
      <c r="D3" s="5" t="s">
        <v>29</v>
      </c>
      <c r="E3" s="17">
        <v>5000</v>
      </c>
      <c r="F3" s="17">
        <f>SUMIFS(tbContratos[VALOR CONTRATO],tbContratos[OBRA],tbOrçamento[[#This Row],[OBRA]],tbContratos[SUBDISCIPLINA],tbOrçamento[[#This Row],[SUBDISCIPLINA]])</f>
        <v>4550</v>
      </c>
      <c r="G3" s="17">
        <f>tbOrçamento[[#This Row],[ORÇAMENTO BASE ]]-tbOrçamento[[#This Row],[VALOR CONTRATADO]]</f>
        <v>450</v>
      </c>
      <c r="H3" s="17">
        <f>SUMIFS(tbContratos[VALOR MEDIDO],tbContratos[OBRA],tbOrçamento[[#This Row],[OBRA]],tbContratos[SUBDISCIPLINA],tbOrçamento[[#This Row],[SUBDISCIPLINA]])</f>
        <v>4550</v>
      </c>
      <c r="I3" s="17">
        <f>tbOrçamento[[#This Row],[VALOR CONTRATADO]]-tbOrçamento[[#This Row],[VALOR MEDIDO]]</f>
        <v>0</v>
      </c>
      <c r="J3" s="5" t="s">
        <v>302</v>
      </c>
    </row>
    <row r="4" spans="1:10" x14ac:dyDescent="0.3">
      <c r="A4" s="5" t="s">
        <v>47</v>
      </c>
      <c r="B4" s="5" t="str">
        <f>_xlfn.XLOOKUP(tbOrçamento[[#This Row],[OBRA]],tbObras[CÓDIGO],tbObras[NOME],"Não encontrado",0)</f>
        <v>Altamira</v>
      </c>
      <c r="C4" s="5" t="s">
        <v>103</v>
      </c>
      <c r="D4" s="5" t="s">
        <v>113</v>
      </c>
      <c r="E4" s="17">
        <v>108000</v>
      </c>
      <c r="F4" s="17">
        <f>SUMIFS(tbContratos[VALOR CONTRATO],tbContratos[OBRA],tbOrçamento[[#This Row],[OBRA]],tbContratos[SUBDISCIPLINA],tbOrçamento[[#This Row],[SUBDISCIPLINA]])</f>
        <v>108000</v>
      </c>
      <c r="G4" s="17">
        <f>tbOrçamento[[#This Row],[ORÇAMENTO BASE ]]-tbOrçamento[[#This Row],[VALOR CONTRATADO]]</f>
        <v>0</v>
      </c>
      <c r="H4" s="17">
        <f>SUMIFS(tbContratos[VALOR MEDIDO],tbContratos[OBRA],tbOrçamento[[#This Row],[OBRA]],tbContratos[SUBDISCIPLINA],tbOrçamento[[#This Row],[SUBDISCIPLINA]])</f>
        <v>102600</v>
      </c>
      <c r="I4" s="17">
        <f>tbOrçamento[[#This Row],[VALOR CONTRATADO]]-tbOrçamento[[#This Row],[VALOR MEDIDO]]</f>
        <v>5400</v>
      </c>
      <c r="J4" s="5" t="s">
        <v>302</v>
      </c>
    </row>
    <row r="5" spans="1:10" x14ac:dyDescent="0.3">
      <c r="A5" s="5" t="s">
        <v>47</v>
      </c>
      <c r="B5" s="5" t="str">
        <f>_xlfn.XLOOKUP(tbOrçamento[[#This Row],[OBRA]],tbObras[CÓDIGO],tbObras[NOME],"Não encontrado",0)</f>
        <v>Altamira</v>
      </c>
      <c r="C5" s="5" t="s">
        <v>103</v>
      </c>
      <c r="D5" s="5" t="s">
        <v>104</v>
      </c>
      <c r="E5" s="17">
        <v>108000</v>
      </c>
      <c r="F5" s="17">
        <f>SUMIFS(tbContratos[VALOR CONTRATO],tbContratos[OBRA],tbOrçamento[[#This Row],[OBRA]],tbContratos[SUBDISCIPLINA],tbOrçamento[[#This Row],[SUBDISCIPLINA]])</f>
        <v>0</v>
      </c>
      <c r="G5" s="17">
        <f>tbOrçamento[[#This Row],[ORÇAMENTO BASE ]]-tbOrçamento[[#This Row],[VALOR CONTRATADO]]</f>
        <v>108000</v>
      </c>
      <c r="H5" s="17">
        <f>SUMIFS(tbContratos[VALOR MEDIDO],tbContratos[OBRA],tbOrçamento[[#This Row],[OBRA]],tbContratos[SUBDISCIPLINA],tbOrçamento[[#This Row],[SUBDISCIPLINA]])</f>
        <v>0</v>
      </c>
      <c r="I5" s="17">
        <f>tbOrçamento[[#This Row],[VALOR CONTRATADO]]-tbOrçamento[[#This Row],[VALOR MEDIDO]]</f>
        <v>0</v>
      </c>
      <c r="J5" s="5" t="s">
        <v>40</v>
      </c>
    </row>
    <row r="6" spans="1:10" x14ac:dyDescent="0.3">
      <c r="A6" s="5" t="s">
        <v>47</v>
      </c>
      <c r="B6" s="5" t="str">
        <f>_xlfn.XLOOKUP(tbOrçamento[[#This Row],[OBRA]],tbObras[CÓDIGO],tbObras[NOME],"Não encontrado",0)</f>
        <v>Altamira</v>
      </c>
      <c r="C6" s="5" t="s">
        <v>91</v>
      </c>
      <c r="D6" s="5" t="s">
        <v>114</v>
      </c>
      <c r="E6" s="17">
        <v>90000</v>
      </c>
      <c r="F6" s="17">
        <f>SUMIFS(tbContratos[VALOR CONTRATO],tbContratos[OBRA],tbOrçamento[[#This Row],[OBRA]],tbContratos[SUBDISCIPLINA],tbOrçamento[[#This Row],[SUBDISCIPLINA]])</f>
        <v>90000</v>
      </c>
      <c r="G6" s="17">
        <f>tbOrçamento[[#This Row],[ORÇAMENTO BASE ]]-tbOrçamento[[#This Row],[VALOR CONTRATADO]]</f>
        <v>0</v>
      </c>
      <c r="H6" s="17">
        <f>SUMIFS(tbContratos[VALOR MEDIDO],tbContratos[OBRA],tbOrçamento[[#This Row],[OBRA]],tbContratos[SUBDISCIPLINA],tbOrçamento[[#This Row],[SUBDISCIPLINA]])</f>
        <v>18000</v>
      </c>
      <c r="I6" s="17">
        <f>tbOrçamento[[#This Row],[VALOR CONTRATADO]]-tbOrçamento[[#This Row],[VALOR MEDIDO]]</f>
        <v>72000</v>
      </c>
      <c r="J6" s="5" t="s">
        <v>302</v>
      </c>
    </row>
    <row r="7" spans="1:10" x14ac:dyDescent="0.3">
      <c r="A7" s="5" t="s">
        <v>47</v>
      </c>
      <c r="B7" s="5" t="str">
        <f>_xlfn.XLOOKUP(tbOrçamento[[#This Row],[OBRA]],tbObras[CÓDIGO],tbObras[NOME],"Não encontrado",0)</f>
        <v>Altamira</v>
      </c>
      <c r="C7" s="5" t="s">
        <v>33</v>
      </c>
      <c r="D7" s="5" t="s">
        <v>119</v>
      </c>
      <c r="E7" s="17">
        <v>25000</v>
      </c>
      <c r="F7" s="17">
        <f>SUMIFS(tbContratos[VALOR CONTRATO],tbContratos[OBRA],tbOrçamento[[#This Row],[OBRA]],tbContratos[SUBDISCIPLINA],tbOrçamento[[#This Row],[SUBDISCIPLINA]])</f>
        <v>25000</v>
      </c>
      <c r="G7" s="17">
        <f>tbOrçamento[[#This Row],[ORÇAMENTO BASE ]]-tbOrçamento[[#This Row],[VALOR CONTRATADO]]</f>
        <v>0</v>
      </c>
      <c r="H7" s="17">
        <f>SUMIFS(tbContratos[VALOR MEDIDO],tbContratos[OBRA],tbOrçamento[[#This Row],[OBRA]],tbContratos[SUBDISCIPLINA],tbOrçamento[[#This Row],[SUBDISCIPLINA]])</f>
        <v>0</v>
      </c>
      <c r="I7" s="17">
        <f>tbOrçamento[[#This Row],[VALOR CONTRATADO]]-tbOrçamento[[#This Row],[VALOR MEDIDO]]</f>
        <v>25000</v>
      </c>
      <c r="J7" s="5" t="s">
        <v>302</v>
      </c>
    </row>
    <row r="8" spans="1:10" x14ac:dyDescent="0.3">
      <c r="A8" s="5" t="s">
        <v>47</v>
      </c>
      <c r="B8" s="5" t="str">
        <f>_xlfn.XLOOKUP(tbOrçamento[[#This Row],[OBRA]],tbObras[CÓDIGO],tbObras[NOME],"Não encontrado",0)</f>
        <v>Altamira</v>
      </c>
      <c r="C8" s="5" t="s">
        <v>33</v>
      </c>
      <c r="D8" s="5" t="s">
        <v>121</v>
      </c>
      <c r="E8" s="17">
        <v>5000</v>
      </c>
      <c r="F8" s="17">
        <f>SUMIFS(tbContratos[VALOR CONTRATO],tbContratos[OBRA],tbOrçamento[[#This Row],[OBRA]],tbContratos[SUBDISCIPLINA],tbOrçamento[[#This Row],[SUBDISCIPLINA]])</f>
        <v>0</v>
      </c>
      <c r="G8" s="17">
        <f>tbOrçamento[[#This Row],[ORÇAMENTO BASE ]]-tbOrçamento[[#This Row],[VALOR CONTRATADO]]</f>
        <v>5000</v>
      </c>
      <c r="H8" s="17">
        <f>SUMIFS(tbContratos[VALOR MEDIDO],tbContratos[OBRA],tbOrçamento[[#This Row],[OBRA]],tbContratos[SUBDISCIPLINA],tbOrçamento[[#This Row],[SUBDISCIPLINA]])</f>
        <v>0</v>
      </c>
      <c r="I8" s="17">
        <f>tbOrçamento[[#This Row],[VALOR CONTRATADO]]-tbOrçamento[[#This Row],[VALOR MEDIDO]]</f>
        <v>0</v>
      </c>
      <c r="J8" s="5" t="s">
        <v>40</v>
      </c>
    </row>
    <row r="9" spans="1:10" x14ac:dyDescent="0.3">
      <c r="A9" s="5" t="s">
        <v>47</v>
      </c>
      <c r="B9" s="5" t="str">
        <f>_xlfn.XLOOKUP(tbOrçamento[[#This Row],[OBRA]],tbObras[CÓDIGO],tbObras[NOME],"Não encontrado",0)</f>
        <v>Altamira</v>
      </c>
      <c r="C9" s="5" t="s">
        <v>35</v>
      </c>
      <c r="D9" s="5" t="s">
        <v>35</v>
      </c>
      <c r="E9" s="17">
        <v>150000</v>
      </c>
      <c r="F9" s="17">
        <f>SUMIFS(tbContratos[VALOR CONTRATO],tbContratos[OBRA],tbOrçamento[[#This Row],[OBRA]],tbContratos[SUBDISCIPLINA],tbOrçamento[[#This Row],[SUBDISCIPLINA]])</f>
        <v>290000</v>
      </c>
      <c r="G9" s="17">
        <f>tbOrçamento[[#This Row],[ORÇAMENTO BASE ]]-tbOrçamento[[#This Row],[VALOR CONTRATADO]]</f>
        <v>-140000</v>
      </c>
      <c r="H9" s="17">
        <f>SUMIFS(tbContratos[VALOR MEDIDO],tbContratos[OBRA],tbOrçamento[[#This Row],[OBRA]],tbContratos[SUBDISCIPLINA],tbOrçamento[[#This Row],[SUBDISCIPLINA]])</f>
        <v>109000</v>
      </c>
      <c r="I9" s="17">
        <f>tbOrçamento[[#This Row],[VALOR CONTRATADO]]-tbOrçamento[[#This Row],[VALOR MEDIDO]]</f>
        <v>181000</v>
      </c>
      <c r="J9" s="5" t="s">
        <v>302</v>
      </c>
    </row>
    <row r="10" spans="1:10" x14ac:dyDescent="0.3">
      <c r="A10" s="5" t="s">
        <v>47</v>
      </c>
      <c r="B10" s="5" t="str">
        <f>_xlfn.XLOOKUP(tbOrçamento[[#This Row],[OBRA]],tbObras[CÓDIGO],tbObras[NOME],"Não encontrado",0)</f>
        <v>Altamira</v>
      </c>
      <c r="C10" s="5" t="s">
        <v>21</v>
      </c>
      <c r="D10" s="5" t="s">
        <v>21</v>
      </c>
      <c r="E10" s="17">
        <v>34500</v>
      </c>
      <c r="F10" s="17">
        <f>SUMIFS(tbContratos[VALOR CONTRATO],tbContratos[OBRA],tbOrçamento[[#This Row],[OBRA]],tbContratos[SUBDISCIPLINA],tbOrçamento[[#This Row],[SUBDISCIPLINA]])</f>
        <v>39500</v>
      </c>
      <c r="G10" s="17">
        <f>tbOrçamento[[#This Row],[ORÇAMENTO BASE ]]-tbOrçamento[[#This Row],[VALOR CONTRATADO]]</f>
        <v>-5000</v>
      </c>
      <c r="H10" s="17">
        <f>SUMIFS(tbContratos[VALOR MEDIDO],tbContratos[OBRA],tbOrçamento[[#This Row],[OBRA]],tbContratos[SUBDISCIPLINA],tbOrçamento[[#This Row],[SUBDISCIPLINA]])</f>
        <v>20699.999999999996</v>
      </c>
      <c r="I10" s="17">
        <f>tbOrçamento[[#This Row],[VALOR CONTRATADO]]-tbOrçamento[[#This Row],[VALOR MEDIDO]]</f>
        <v>18800.000000000004</v>
      </c>
      <c r="J10" s="5" t="s">
        <v>302</v>
      </c>
    </row>
    <row r="11" spans="1:10" x14ac:dyDescent="0.3">
      <c r="A11" s="5" t="s">
        <v>47</v>
      </c>
      <c r="B11" s="5" t="str">
        <f>_xlfn.XLOOKUP(tbOrçamento[[#This Row],[OBRA]],tbObras[CÓDIGO],tbObras[NOME],"Não encontrado",0)</f>
        <v>Altamira</v>
      </c>
      <c r="C11" s="5" t="s">
        <v>41</v>
      </c>
      <c r="D11" s="5" t="s">
        <v>41</v>
      </c>
      <c r="E11" s="17">
        <v>15000</v>
      </c>
      <c r="F11" s="17">
        <f>SUMIFS(tbContratos[VALOR CONTRATO],tbContratos[OBRA],tbOrçamento[[#This Row],[OBRA]],tbContratos[SUBDISCIPLINA],tbOrçamento[[#This Row],[SUBDISCIPLINA]])</f>
        <v>0</v>
      </c>
      <c r="G11" s="17">
        <f>tbOrçamento[[#This Row],[ORÇAMENTO BASE ]]-tbOrçamento[[#This Row],[VALOR CONTRATADO]]</f>
        <v>15000</v>
      </c>
      <c r="H11" s="17">
        <f>SUMIFS(tbContratos[VALOR MEDIDO],tbContratos[OBRA],tbOrçamento[[#This Row],[OBRA]],tbContratos[SUBDISCIPLINA],tbOrçamento[[#This Row],[SUBDISCIPLINA]])</f>
        <v>0</v>
      </c>
      <c r="I11" s="17">
        <f>tbOrçamento[[#This Row],[VALOR CONTRATADO]]-tbOrçamento[[#This Row],[VALOR MEDIDO]]</f>
        <v>0</v>
      </c>
      <c r="J11" s="5" t="s">
        <v>40</v>
      </c>
    </row>
    <row r="12" spans="1:10" x14ac:dyDescent="0.3">
      <c r="A12" s="5" t="s">
        <v>47</v>
      </c>
      <c r="B12" s="5" t="str">
        <f>_xlfn.XLOOKUP(tbOrçamento[[#This Row],[OBRA]],tbObras[CÓDIGO],tbObras[NOME],"Não encontrado",0)</f>
        <v>Altamira</v>
      </c>
      <c r="C12" s="5" t="s">
        <v>42</v>
      </c>
      <c r="D12" s="5" t="s">
        <v>42</v>
      </c>
      <c r="E12" s="17">
        <v>20000</v>
      </c>
      <c r="F12" s="17">
        <f>SUMIFS(tbContratos[VALOR CONTRATO],tbContratos[OBRA],tbOrçamento[[#This Row],[OBRA]],tbContratos[SUBDISCIPLINA],tbOrçamento[[#This Row],[SUBDISCIPLINA]])</f>
        <v>0</v>
      </c>
      <c r="G12" s="17">
        <f>tbOrçamento[[#This Row],[ORÇAMENTO BASE ]]-tbOrçamento[[#This Row],[VALOR CONTRATADO]]</f>
        <v>20000</v>
      </c>
      <c r="H12" s="17">
        <f>SUMIFS(tbContratos[VALOR MEDIDO],tbContratos[OBRA],tbOrçamento[[#This Row],[OBRA]],tbContratos[SUBDISCIPLINA],tbOrçamento[[#This Row],[SUBDISCIPLINA]])</f>
        <v>0</v>
      </c>
      <c r="I12" s="17">
        <f>tbOrçamento[[#This Row],[VALOR CONTRATADO]]-tbOrçamento[[#This Row],[VALOR MEDIDO]]</f>
        <v>0</v>
      </c>
      <c r="J12" s="5" t="s">
        <v>40</v>
      </c>
    </row>
    <row r="13" spans="1:10" x14ac:dyDescent="0.3">
      <c r="A13" s="5" t="s">
        <v>47</v>
      </c>
      <c r="B13" s="5" t="str">
        <f>_xlfn.XLOOKUP(tbOrçamento[[#This Row],[OBRA]],tbObras[CÓDIGO],tbObras[NOME],"Não encontrado",0)</f>
        <v>Altamira</v>
      </c>
      <c r="C13" s="5" t="s">
        <v>125</v>
      </c>
      <c r="D13" s="5" t="s">
        <v>125</v>
      </c>
      <c r="E13" s="17">
        <v>15000</v>
      </c>
      <c r="F13" s="17">
        <f>SUMIFS(tbContratos[VALOR CONTRATO],tbContratos[OBRA],tbOrçamento[[#This Row],[OBRA]],tbContratos[SUBDISCIPLINA],tbOrçamento[[#This Row],[SUBDISCIPLINA]])</f>
        <v>0</v>
      </c>
      <c r="G13" s="17">
        <f>tbOrçamento[[#This Row],[ORÇAMENTO BASE ]]-tbOrçamento[[#This Row],[VALOR CONTRATADO]]</f>
        <v>15000</v>
      </c>
      <c r="H13" s="17">
        <f>SUMIFS(tbContratos[VALOR MEDIDO],tbContratos[OBRA],tbOrçamento[[#This Row],[OBRA]],tbContratos[SUBDISCIPLINA],tbOrçamento[[#This Row],[SUBDISCIPLINA]])</f>
        <v>0</v>
      </c>
      <c r="I13" s="17">
        <f>tbOrçamento[[#This Row],[VALOR CONTRATADO]]-tbOrçamento[[#This Row],[VALOR MEDIDO]]</f>
        <v>0</v>
      </c>
      <c r="J13" s="5" t="s">
        <v>40</v>
      </c>
    </row>
    <row r="14" spans="1:10" x14ac:dyDescent="0.3">
      <c r="A14" s="5" t="s">
        <v>47</v>
      </c>
      <c r="B14" s="5" t="str">
        <f>_xlfn.XLOOKUP(tbOrçamento[[#This Row],[OBRA]],tbObras[CÓDIGO],tbObras[NOME],"Não encontrado",0)</f>
        <v>Altamira</v>
      </c>
      <c r="C14" s="5" t="s">
        <v>126</v>
      </c>
      <c r="D14" s="5" t="s">
        <v>126</v>
      </c>
      <c r="E14" s="17">
        <v>7500</v>
      </c>
      <c r="F14" s="17">
        <f>SUMIFS(tbContratos[VALOR CONTRATO],tbContratos[OBRA],tbOrçamento[[#This Row],[OBRA]],tbContratos[SUBDISCIPLINA],tbOrçamento[[#This Row],[SUBDISCIPLINA]])</f>
        <v>0</v>
      </c>
      <c r="G14" s="17">
        <f>tbOrçamento[[#This Row],[ORÇAMENTO BASE ]]-tbOrçamento[[#This Row],[VALOR CONTRATADO]]</f>
        <v>7500</v>
      </c>
      <c r="H14" s="17">
        <f>SUMIFS(tbContratos[VALOR MEDIDO],tbContratos[OBRA],tbOrçamento[[#This Row],[OBRA]],tbContratos[SUBDISCIPLINA],tbOrçamento[[#This Row],[SUBDISCIPLINA]])</f>
        <v>0</v>
      </c>
      <c r="I14" s="17">
        <f>tbOrçamento[[#This Row],[VALOR CONTRATADO]]-tbOrçamento[[#This Row],[VALOR MEDIDO]]</f>
        <v>0</v>
      </c>
      <c r="J14" s="5" t="s">
        <v>40</v>
      </c>
    </row>
    <row r="15" spans="1:10" x14ac:dyDescent="0.3">
      <c r="A15" s="5" t="s">
        <v>47</v>
      </c>
      <c r="B15" s="5" t="str">
        <f>_xlfn.XLOOKUP(tbOrçamento[[#This Row],[OBRA]],tbObras[CÓDIGO],tbObras[NOME],"Não encontrado",0)</f>
        <v>Altamira</v>
      </c>
      <c r="C15" s="5" t="s">
        <v>39</v>
      </c>
      <c r="D15" s="5" t="s">
        <v>39</v>
      </c>
      <c r="E15" s="17">
        <v>6000</v>
      </c>
      <c r="F15" s="17">
        <f>SUMIFS(tbContratos[VALOR CONTRATO],tbContratos[OBRA],tbOrçamento[[#This Row],[OBRA]],tbContratos[SUBDISCIPLINA],tbOrçamento[[#This Row],[SUBDISCIPLINA]])</f>
        <v>5000</v>
      </c>
      <c r="G15" s="17">
        <f>tbOrçamento[[#This Row],[ORÇAMENTO BASE ]]-tbOrçamento[[#This Row],[VALOR CONTRATADO]]</f>
        <v>1000</v>
      </c>
      <c r="H15" s="17">
        <f>SUMIFS(tbContratos[VALOR MEDIDO],tbContratos[OBRA],tbOrçamento[[#This Row],[OBRA]],tbContratos[SUBDISCIPLINA],tbOrçamento[[#This Row],[SUBDISCIPLINA]])</f>
        <v>0</v>
      </c>
      <c r="I15" s="17">
        <f>tbOrçamento[[#This Row],[VALOR CONTRATADO]]-tbOrçamento[[#This Row],[VALOR MEDIDO]]</f>
        <v>5000</v>
      </c>
      <c r="J15" s="5" t="s">
        <v>302</v>
      </c>
    </row>
    <row r="16" spans="1:10" x14ac:dyDescent="0.3">
      <c r="A16" s="5" t="s">
        <v>47</v>
      </c>
      <c r="B16" s="5" t="str">
        <f>_xlfn.XLOOKUP(tbOrçamento[[#This Row],[OBRA]],tbObras[CÓDIGO],tbObras[NOME],"Não encontrado",0)</f>
        <v>Altamira</v>
      </c>
      <c r="C16" s="5" t="s">
        <v>39</v>
      </c>
      <c r="D16" s="5" t="s">
        <v>573</v>
      </c>
      <c r="E16" s="17">
        <v>1500</v>
      </c>
      <c r="F16" s="17">
        <f>SUMIFS(tbContratos[VALOR CONTRATO],tbContratos[OBRA],tbOrçamento[[#This Row],[OBRA]],tbContratos[SUBDISCIPLINA],tbOrçamento[[#This Row],[SUBDISCIPLINA]])</f>
        <v>0</v>
      </c>
      <c r="G16" s="17">
        <f>tbOrçamento[[#This Row],[ORÇAMENTO BASE ]]-tbOrçamento[[#This Row],[VALOR CONTRATADO]]</f>
        <v>1500</v>
      </c>
      <c r="H16" s="17">
        <f>SUMIFS(tbContratos[VALOR MEDIDO],tbContratos[OBRA],tbOrçamento[[#This Row],[OBRA]],tbContratos[SUBDISCIPLINA],tbOrçamento[[#This Row],[SUBDISCIPLINA]])</f>
        <v>0</v>
      </c>
      <c r="I16" s="17">
        <f>tbOrçamento[[#This Row],[VALOR CONTRATADO]]-tbOrçamento[[#This Row],[VALOR MEDIDO]]</f>
        <v>0</v>
      </c>
      <c r="J16" s="5" t="s">
        <v>40</v>
      </c>
    </row>
    <row r="17" spans="1:10" x14ac:dyDescent="0.3">
      <c r="A17" s="5" t="s">
        <v>47</v>
      </c>
      <c r="B17" s="5" t="str">
        <f>_xlfn.XLOOKUP(tbOrçamento[[#This Row],[OBRA]],tbObras[CÓDIGO],tbObras[NOME],"Não encontrado",0)</f>
        <v>Altamira</v>
      </c>
      <c r="C17" s="5" t="s">
        <v>127</v>
      </c>
      <c r="D17" s="5" t="s">
        <v>128</v>
      </c>
      <c r="E17" s="17">
        <v>5000</v>
      </c>
      <c r="F17" s="17">
        <f>SUMIFS(tbContratos[VALOR CONTRATO],tbContratos[OBRA],tbOrçamento[[#This Row],[OBRA]],tbContratos[SUBDISCIPLINA],tbOrçamento[[#This Row],[SUBDISCIPLINA]])</f>
        <v>0</v>
      </c>
      <c r="G17" s="17">
        <f>tbOrçamento[[#This Row],[ORÇAMENTO BASE ]]-tbOrçamento[[#This Row],[VALOR CONTRATADO]]</f>
        <v>5000</v>
      </c>
      <c r="H17" s="17">
        <f>SUMIFS(tbContratos[VALOR MEDIDO],tbContratos[OBRA],tbOrçamento[[#This Row],[OBRA]],tbContratos[SUBDISCIPLINA],tbOrçamento[[#This Row],[SUBDISCIPLINA]])</f>
        <v>0</v>
      </c>
      <c r="I17" s="17">
        <f>tbOrçamento[[#This Row],[VALOR CONTRATADO]]-tbOrçamento[[#This Row],[VALOR MEDIDO]]</f>
        <v>0</v>
      </c>
      <c r="J17" s="5" t="s">
        <v>40</v>
      </c>
    </row>
    <row r="18" spans="1:10" x14ac:dyDescent="0.3">
      <c r="A18" s="5" t="s">
        <v>47</v>
      </c>
      <c r="B18" s="5" t="str">
        <f>_xlfn.XLOOKUP(tbOrçamento[[#This Row],[OBRA]],tbObras[CÓDIGO],tbObras[NOME],"Não encontrado",0)</f>
        <v>Altamira</v>
      </c>
      <c r="C18" s="5" t="s">
        <v>127</v>
      </c>
      <c r="D18" s="5" t="s">
        <v>129</v>
      </c>
      <c r="E18" s="17">
        <v>10000</v>
      </c>
      <c r="F18" s="17">
        <f>SUMIFS(tbContratos[VALOR CONTRATO],tbContratos[OBRA],tbOrçamento[[#This Row],[OBRA]],tbContratos[SUBDISCIPLINA],tbOrçamento[[#This Row],[SUBDISCIPLINA]])</f>
        <v>0</v>
      </c>
      <c r="G18" s="17">
        <f>tbOrçamento[[#This Row],[ORÇAMENTO BASE ]]-tbOrçamento[[#This Row],[VALOR CONTRATADO]]</f>
        <v>10000</v>
      </c>
      <c r="H18" s="17">
        <f>SUMIFS(tbContratos[VALOR MEDIDO],tbContratos[OBRA],tbOrçamento[[#This Row],[OBRA]],tbContratos[SUBDISCIPLINA],tbOrçamento[[#This Row],[SUBDISCIPLINA]])</f>
        <v>0</v>
      </c>
      <c r="I18" s="17">
        <f>tbOrçamento[[#This Row],[VALOR CONTRATADO]]-tbOrçamento[[#This Row],[VALOR MEDIDO]]</f>
        <v>0</v>
      </c>
      <c r="J18" s="5" t="s">
        <v>40</v>
      </c>
    </row>
    <row r="19" spans="1:10" x14ac:dyDescent="0.3">
      <c r="A19" s="5" t="s">
        <v>47</v>
      </c>
      <c r="B19" s="5" t="str">
        <f>_xlfn.XLOOKUP(tbOrçamento[[#This Row],[OBRA]],tbObras[CÓDIGO],tbObras[NOME],"Não encontrado",0)</f>
        <v>Altamira</v>
      </c>
      <c r="C19" s="5" t="s">
        <v>127</v>
      </c>
      <c r="D19" s="5" t="s">
        <v>132</v>
      </c>
      <c r="E19" s="17">
        <v>10000</v>
      </c>
      <c r="F19" s="17">
        <f>SUMIFS(tbContratos[VALOR CONTRATO],tbContratos[OBRA],tbOrçamento[[#This Row],[OBRA]],tbContratos[SUBDISCIPLINA],tbOrçamento[[#This Row],[SUBDISCIPLINA]])</f>
        <v>0</v>
      </c>
      <c r="G19" s="17">
        <f>tbOrçamento[[#This Row],[ORÇAMENTO BASE ]]-tbOrçamento[[#This Row],[VALOR CONTRATADO]]</f>
        <v>10000</v>
      </c>
      <c r="H19" s="17">
        <f>SUMIFS(tbContratos[VALOR MEDIDO],tbContratos[OBRA],tbOrçamento[[#This Row],[OBRA]],tbContratos[SUBDISCIPLINA],tbOrçamento[[#This Row],[SUBDISCIPLINA]])</f>
        <v>0</v>
      </c>
      <c r="I19" s="17">
        <f>tbOrçamento[[#This Row],[VALOR CONTRATADO]]-tbOrçamento[[#This Row],[VALOR MEDIDO]]</f>
        <v>0</v>
      </c>
      <c r="J19" s="5" t="s">
        <v>40</v>
      </c>
    </row>
    <row r="20" spans="1:10" x14ac:dyDescent="0.3">
      <c r="A20" s="5" t="s">
        <v>47</v>
      </c>
      <c r="B20" s="5" t="str">
        <f>_xlfn.XLOOKUP(tbOrçamento[[#This Row],[OBRA]],tbObras[CÓDIGO],tbObras[NOME],"Não encontrado",0)</f>
        <v>Altamira</v>
      </c>
      <c r="C20" s="5" t="s">
        <v>92</v>
      </c>
      <c r="D20" s="5" t="s">
        <v>323</v>
      </c>
      <c r="E20" s="17">
        <v>10000</v>
      </c>
      <c r="F20" s="17">
        <f>SUMIFS(tbContratos[VALOR CONTRATO],tbContratos[OBRA],tbOrçamento[[#This Row],[OBRA]],tbContratos[SUBDISCIPLINA],tbOrçamento[[#This Row],[SUBDISCIPLINA]])</f>
        <v>9000</v>
      </c>
      <c r="G20" s="17">
        <f>tbOrçamento[[#This Row],[ORÇAMENTO BASE ]]-tbOrçamento[[#This Row],[VALOR CONTRATADO]]</f>
        <v>1000</v>
      </c>
      <c r="H20" s="17">
        <f>SUMIFS(tbContratos[VALOR MEDIDO],tbContratos[OBRA],tbOrçamento[[#This Row],[OBRA]],tbContratos[SUBDISCIPLINA],tbOrçamento[[#This Row],[SUBDISCIPLINA]])</f>
        <v>9000</v>
      </c>
      <c r="I20" s="17">
        <f>tbOrçamento[[#This Row],[VALOR CONTRATADO]]-tbOrçamento[[#This Row],[VALOR MEDIDO]]</f>
        <v>0</v>
      </c>
      <c r="J20" s="5" t="s">
        <v>302</v>
      </c>
    </row>
    <row r="21" spans="1:10" x14ac:dyDescent="0.3">
      <c r="A21" s="5" t="s">
        <v>47</v>
      </c>
      <c r="B21" s="5" t="str">
        <f>_xlfn.XLOOKUP(tbOrçamento[[#This Row],[OBRA]],tbObras[CÓDIGO],tbObras[NOME],"Não encontrado",0)</f>
        <v>Altamira</v>
      </c>
      <c r="C21" s="5" t="s">
        <v>92</v>
      </c>
      <c r="D21" s="5" t="s">
        <v>325</v>
      </c>
      <c r="E21" s="17">
        <v>25000</v>
      </c>
      <c r="F21" s="17">
        <f>SUMIFS(tbContratos[VALOR CONTRATO],tbContratos[OBRA],tbOrçamento[[#This Row],[OBRA]],tbContratos[SUBDISCIPLINA],tbOrçamento[[#This Row],[SUBDISCIPLINA]])</f>
        <v>0</v>
      </c>
      <c r="G21" s="17">
        <f>tbOrçamento[[#This Row],[ORÇAMENTO BASE ]]-tbOrçamento[[#This Row],[VALOR CONTRATADO]]</f>
        <v>25000</v>
      </c>
      <c r="H21" s="17">
        <f>SUMIFS(tbContratos[VALOR MEDIDO],tbContratos[OBRA],tbOrçamento[[#This Row],[OBRA]],tbContratos[SUBDISCIPLINA],tbOrçamento[[#This Row],[SUBDISCIPLINA]])</f>
        <v>0</v>
      </c>
      <c r="I21" s="17">
        <f>tbOrçamento[[#This Row],[VALOR CONTRATADO]]-tbOrçamento[[#This Row],[VALOR MEDIDO]]</f>
        <v>0</v>
      </c>
      <c r="J21" s="5" t="s">
        <v>40</v>
      </c>
    </row>
    <row r="22" spans="1:10" x14ac:dyDescent="0.3">
      <c r="A22" s="5" t="s">
        <v>47</v>
      </c>
      <c r="B22" s="5" t="str">
        <f>_xlfn.XLOOKUP(tbOrçamento[[#This Row],[OBRA]],tbObras[CÓDIGO],tbObras[NOME],"Não encontrado",0)</f>
        <v>Altamira</v>
      </c>
      <c r="C22" s="5" t="s">
        <v>335</v>
      </c>
      <c r="D22" s="5" t="s">
        <v>325</v>
      </c>
      <c r="E22" s="17">
        <v>15000</v>
      </c>
      <c r="F22" s="17">
        <f>SUMIFS(tbContratos[VALOR CONTRATO],tbContratos[OBRA],tbOrçamento[[#This Row],[OBRA]],tbContratos[SUBDISCIPLINA],tbOrçamento[[#This Row],[SUBDISCIPLINA]])</f>
        <v>0</v>
      </c>
      <c r="G22" s="17">
        <f>tbOrçamento[[#This Row],[ORÇAMENTO BASE ]]-tbOrçamento[[#This Row],[VALOR CONTRATADO]]</f>
        <v>15000</v>
      </c>
      <c r="H22" s="17">
        <f>SUMIFS(tbContratos[VALOR MEDIDO],tbContratos[OBRA],tbOrçamento[[#This Row],[OBRA]],tbContratos[SUBDISCIPLINA],tbOrçamento[[#This Row],[SUBDISCIPLINA]])</f>
        <v>0</v>
      </c>
      <c r="I22" s="17">
        <f>tbOrçamento[[#This Row],[VALOR CONTRATADO]]-tbOrçamento[[#This Row],[VALOR MEDIDO]]</f>
        <v>0</v>
      </c>
      <c r="J22" s="5" t="s">
        <v>40</v>
      </c>
    </row>
    <row r="23" spans="1:10" x14ac:dyDescent="0.3">
      <c r="A23" s="5" t="s">
        <v>47</v>
      </c>
      <c r="B23" s="5" t="str">
        <f>_xlfn.XLOOKUP(tbOrçamento[[#This Row],[OBRA]],tbObras[CÓDIGO],tbObras[NOME],"Não encontrado",0)</f>
        <v>Altamira</v>
      </c>
      <c r="C23" s="5" t="s">
        <v>25</v>
      </c>
      <c r="D23" s="5" t="s">
        <v>25</v>
      </c>
      <c r="E23" s="17">
        <v>528286.4</v>
      </c>
      <c r="F23" s="17">
        <f>SUMIFS(tbContratos[VALOR CONTRATO],tbContratos[OBRA],tbOrçamento[[#This Row],[OBRA]],tbContratos[SUBDISCIPLINA],tbOrçamento[[#This Row],[SUBDISCIPLINA]])</f>
        <v>528286.4</v>
      </c>
      <c r="G23" s="17">
        <f>tbOrçamento[[#This Row],[ORÇAMENTO BASE ]]-tbOrçamento[[#This Row],[VALOR CONTRATADO]]</f>
        <v>0</v>
      </c>
      <c r="H23" s="17">
        <f>SUMIFS(tbContratos[VALOR MEDIDO],tbContratos[OBRA],tbOrçamento[[#This Row],[OBRA]],tbContratos[SUBDISCIPLINA],tbOrçamento[[#This Row],[SUBDISCIPLINA]])</f>
        <v>13785.03</v>
      </c>
      <c r="I23" s="17">
        <f>tbOrçamento[[#This Row],[VALOR CONTRATADO]]-tbOrçamento[[#This Row],[VALOR MEDIDO]]</f>
        <v>514501.37</v>
      </c>
      <c r="J23" s="5" t="s">
        <v>40</v>
      </c>
    </row>
    <row r="24" spans="1:10" x14ac:dyDescent="0.3">
      <c r="A24" s="5" t="s">
        <v>56</v>
      </c>
      <c r="B24" s="5" t="str">
        <f>_xlfn.XLOOKUP(tbOrçamento[[#This Row],[OBRA]],tbObras[CÓDIGO],tbObras[NOME],"Não encontrado",0)</f>
        <v>Galassi</v>
      </c>
      <c r="C24" s="5" t="s">
        <v>23</v>
      </c>
      <c r="D24" s="5" t="s">
        <v>23</v>
      </c>
      <c r="E24" s="17">
        <v>35000</v>
      </c>
      <c r="F24" s="17">
        <f>SUMIFS(tbContratos[VALOR CONTRATO],tbContratos[OBRA],tbOrçamento[[#This Row],[OBRA]],tbContratos[SUBDISCIPLINA],tbOrçamento[[#This Row],[SUBDISCIPLINA]])</f>
        <v>32553.279999999999</v>
      </c>
      <c r="G24" s="17">
        <f>tbOrçamento[[#This Row],[ORÇAMENTO BASE ]]-tbOrçamento[[#This Row],[VALOR CONTRATADO]]</f>
        <v>2446.7200000000012</v>
      </c>
      <c r="H24" s="17">
        <f>SUMIFS(tbContratos[VALOR MEDIDO],tbContratos[OBRA],tbOrçamento[[#This Row],[OBRA]],tbContratos[SUBDISCIPLINA],tbOrçamento[[#This Row],[SUBDISCIPLINA]])</f>
        <v>32553.279999999999</v>
      </c>
      <c r="I24" s="17">
        <f>tbOrçamento[[#This Row],[VALOR CONTRATADO]]-tbOrçamento[[#This Row],[VALOR MEDIDO]]</f>
        <v>0</v>
      </c>
      <c r="J24" s="5" t="s">
        <v>302</v>
      </c>
    </row>
    <row r="25" spans="1:10" x14ac:dyDescent="0.3">
      <c r="A25" s="5" t="s">
        <v>56</v>
      </c>
      <c r="B25" s="5" t="str">
        <f>_xlfn.XLOOKUP(tbOrçamento[[#This Row],[OBRA]],tbObras[CÓDIGO],tbObras[NOME],"Não encontrado",0)</f>
        <v>Galassi</v>
      </c>
      <c r="C25" s="5" t="s">
        <v>29</v>
      </c>
      <c r="D25" s="5" t="s">
        <v>29</v>
      </c>
      <c r="E25" s="17">
        <v>5000</v>
      </c>
      <c r="F25" s="17">
        <f>SUMIFS(tbContratos[VALOR CONTRATO],tbContratos[OBRA],tbOrçamento[[#This Row],[OBRA]],tbContratos[SUBDISCIPLINA],tbOrçamento[[#This Row],[SUBDISCIPLINA]])</f>
        <v>2850</v>
      </c>
      <c r="G25" s="17">
        <f>tbOrçamento[[#This Row],[ORÇAMENTO BASE ]]-tbOrçamento[[#This Row],[VALOR CONTRATADO]]</f>
        <v>2150</v>
      </c>
      <c r="H25" s="17">
        <f>SUMIFS(tbContratos[VALOR MEDIDO],tbContratos[OBRA],tbOrçamento[[#This Row],[OBRA]],tbContratos[SUBDISCIPLINA],tbOrçamento[[#This Row],[SUBDISCIPLINA]])</f>
        <v>2850</v>
      </c>
      <c r="I25" s="17">
        <f>tbOrçamento[[#This Row],[VALOR CONTRATADO]]-tbOrçamento[[#This Row],[VALOR MEDIDO]]</f>
        <v>0</v>
      </c>
      <c r="J25" s="5" t="s">
        <v>302</v>
      </c>
    </row>
    <row r="26" spans="1:10" x14ac:dyDescent="0.3">
      <c r="A26" s="5" t="s">
        <v>56</v>
      </c>
      <c r="B26" s="5" t="str">
        <f>_xlfn.XLOOKUP(tbOrçamento[[#This Row],[OBRA]],tbObras[CÓDIGO],tbObras[NOME],"Não encontrado",0)</f>
        <v>Galassi</v>
      </c>
      <c r="C26" s="5" t="s">
        <v>103</v>
      </c>
      <c r="D26" s="5" t="s">
        <v>113</v>
      </c>
      <c r="E26" s="17">
        <v>75680</v>
      </c>
      <c r="F26" s="17">
        <f>SUMIFS(tbContratos[VALOR CONTRATO],tbContratos[OBRA],tbOrçamento[[#This Row],[OBRA]],tbContratos[SUBDISCIPLINA],tbOrçamento[[#This Row],[SUBDISCIPLINA]])</f>
        <v>85680</v>
      </c>
      <c r="G26" s="17">
        <f>tbOrçamento[[#This Row],[ORÇAMENTO BASE ]]-tbOrçamento[[#This Row],[VALOR CONTRATADO]]</f>
        <v>-10000</v>
      </c>
      <c r="H26" s="17">
        <f>SUMIFS(tbContratos[VALOR MEDIDO],tbContratos[OBRA],tbOrçamento[[#This Row],[OBRA]],tbContratos[SUBDISCIPLINA],tbOrçamento[[#This Row],[SUBDISCIPLINA]])</f>
        <v>47124</v>
      </c>
      <c r="I26" s="17">
        <f>tbOrçamento[[#This Row],[VALOR CONTRATADO]]-tbOrçamento[[#This Row],[VALOR MEDIDO]]</f>
        <v>38556</v>
      </c>
      <c r="J26" s="5" t="s">
        <v>302</v>
      </c>
    </row>
    <row r="27" spans="1:10" x14ac:dyDescent="0.3">
      <c r="A27" s="5" t="s">
        <v>56</v>
      </c>
      <c r="B27" s="5" t="str">
        <f>_xlfn.XLOOKUP(tbOrçamento[[#This Row],[OBRA]],tbObras[CÓDIGO],tbObras[NOME],"Não encontrado",0)</f>
        <v>Galassi</v>
      </c>
      <c r="C27" s="5" t="s">
        <v>103</v>
      </c>
      <c r="D27" s="5" t="s">
        <v>104</v>
      </c>
      <c r="E27" s="17">
        <v>20000</v>
      </c>
      <c r="F27" s="17">
        <f>SUMIFS(tbContratos[VALOR CONTRATO],tbContratos[OBRA],tbOrçamento[[#This Row],[OBRA]],tbContratos[SUBDISCIPLINA],tbOrçamento[[#This Row],[SUBDISCIPLINA]])</f>
        <v>0</v>
      </c>
      <c r="G27" s="17">
        <f>tbOrçamento[[#This Row],[ORÇAMENTO BASE ]]-tbOrçamento[[#This Row],[VALOR CONTRATADO]]</f>
        <v>20000</v>
      </c>
      <c r="H27" s="17">
        <f>SUMIFS(tbContratos[VALOR MEDIDO],tbContratos[OBRA],tbOrçamento[[#This Row],[OBRA]],tbContratos[SUBDISCIPLINA],tbOrçamento[[#This Row],[SUBDISCIPLINA]])</f>
        <v>0</v>
      </c>
      <c r="I27" s="17">
        <f>tbOrçamento[[#This Row],[VALOR CONTRATADO]]-tbOrçamento[[#This Row],[VALOR MEDIDO]]</f>
        <v>0</v>
      </c>
      <c r="J27" s="5" t="s">
        <v>40</v>
      </c>
    </row>
    <row r="28" spans="1:10" x14ac:dyDescent="0.3">
      <c r="A28" s="5" t="s">
        <v>56</v>
      </c>
      <c r="B28" s="5" t="str">
        <f>_xlfn.XLOOKUP(tbOrçamento[[#This Row],[OBRA]],tbObras[CÓDIGO],tbObras[NOME],"Não encontrado",0)</f>
        <v>Galassi</v>
      </c>
      <c r="C28" s="5" t="s">
        <v>91</v>
      </c>
      <c r="D28" s="5" t="s">
        <v>114</v>
      </c>
      <c r="E28" s="17">
        <v>111000</v>
      </c>
      <c r="F28" s="17">
        <f>SUMIFS(tbContratos[VALOR CONTRATO],tbContratos[OBRA],tbOrçamento[[#This Row],[OBRA]],tbContratos[SUBDISCIPLINA],tbOrçamento[[#This Row],[SUBDISCIPLINA]])</f>
        <v>100000</v>
      </c>
      <c r="G28" s="17">
        <f>tbOrçamento[[#This Row],[ORÇAMENTO BASE ]]-tbOrçamento[[#This Row],[VALOR CONTRATADO]]</f>
        <v>11000</v>
      </c>
      <c r="H28" s="17">
        <f>SUMIFS(tbContratos[VALOR MEDIDO],tbContratos[OBRA],tbOrçamento[[#This Row],[OBRA]],tbContratos[SUBDISCIPLINA],tbOrçamento[[#This Row],[SUBDISCIPLINA]])</f>
        <v>15000</v>
      </c>
      <c r="I28" s="17">
        <f>tbOrçamento[[#This Row],[VALOR CONTRATADO]]-tbOrçamento[[#This Row],[VALOR MEDIDO]]</f>
        <v>85000</v>
      </c>
      <c r="J28" s="5" t="s">
        <v>302</v>
      </c>
    </row>
    <row r="29" spans="1:10" x14ac:dyDescent="0.3">
      <c r="A29" s="5" t="s">
        <v>56</v>
      </c>
      <c r="B29" s="5" t="str">
        <f>_xlfn.XLOOKUP(tbOrçamento[[#This Row],[OBRA]],tbObras[CÓDIGO],tbObras[NOME],"Não encontrado",0)</f>
        <v>Galassi</v>
      </c>
      <c r="C29" s="5" t="s">
        <v>33</v>
      </c>
      <c r="D29" s="5" t="s">
        <v>119</v>
      </c>
      <c r="E29" s="17">
        <v>12000</v>
      </c>
      <c r="F29" s="17">
        <f>SUMIFS(tbContratos[VALOR CONTRATO],tbContratos[OBRA],tbOrçamento[[#This Row],[OBRA]],tbContratos[SUBDISCIPLINA],tbOrçamento[[#This Row],[SUBDISCIPLINA]])</f>
        <v>12000</v>
      </c>
      <c r="G29" s="17">
        <f>tbOrçamento[[#This Row],[ORÇAMENTO BASE ]]-tbOrçamento[[#This Row],[VALOR CONTRATADO]]</f>
        <v>0</v>
      </c>
      <c r="H29" s="17">
        <f>SUMIFS(tbContratos[VALOR MEDIDO],tbContratos[OBRA],tbOrçamento[[#This Row],[OBRA]],tbContratos[SUBDISCIPLINA],tbOrçamento[[#This Row],[SUBDISCIPLINA]])</f>
        <v>0</v>
      </c>
      <c r="I29" s="17">
        <f>tbOrçamento[[#This Row],[VALOR CONTRATADO]]-tbOrçamento[[#This Row],[VALOR MEDIDO]]</f>
        <v>12000</v>
      </c>
      <c r="J29" s="5" t="s">
        <v>302</v>
      </c>
    </row>
    <row r="30" spans="1:10" x14ac:dyDescent="0.3">
      <c r="A30" s="5" t="s">
        <v>56</v>
      </c>
      <c r="B30" s="5" t="str">
        <f>_xlfn.XLOOKUP(tbOrçamento[[#This Row],[OBRA]],tbObras[CÓDIGO],tbObras[NOME],"Não encontrado",0)</f>
        <v>Galassi</v>
      </c>
      <c r="C30" s="5" t="s">
        <v>33</v>
      </c>
      <c r="D30" s="5" t="s">
        <v>121</v>
      </c>
      <c r="E30" s="17">
        <v>5000</v>
      </c>
      <c r="F30" s="17">
        <f>SUMIFS(tbContratos[VALOR CONTRATO],tbContratos[OBRA],tbOrçamento[[#This Row],[OBRA]],tbContratos[SUBDISCIPLINA],tbOrçamento[[#This Row],[SUBDISCIPLINA]])</f>
        <v>0</v>
      </c>
      <c r="G30" s="17">
        <f>tbOrçamento[[#This Row],[ORÇAMENTO BASE ]]-tbOrçamento[[#This Row],[VALOR CONTRATADO]]</f>
        <v>5000</v>
      </c>
      <c r="H30" s="17">
        <f>SUMIFS(tbContratos[VALOR MEDIDO],tbContratos[OBRA],tbOrçamento[[#This Row],[OBRA]],tbContratos[SUBDISCIPLINA],tbOrçamento[[#This Row],[SUBDISCIPLINA]])</f>
        <v>0</v>
      </c>
      <c r="I30" s="17">
        <f>tbOrçamento[[#This Row],[VALOR CONTRATADO]]-tbOrçamento[[#This Row],[VALOR MEDIDO]]</f>
        <v>0</v>
      </c>
      <c r="J30" s="5" t="s">
        <v>40</v>
      </c>
    </row>
    <row r="31" spans="1:10" x14ac:dyDescent="0.3">
      <c r="A31" s="5" t="s">
        <v>56</v>
      </c>
      <c r="B31" s="5" t="str">
        <f>_xlfn.XLOOKUP(tbOrçamento[[#This Row],[OBRA]],tbObras[CÓDIGO],tbObras[NOME],"Não encontrado",0)</f>
        <v>Galassi</v>
      </c>
      <c r="C31" s="5" t="s">
        <v>35</v>
      </c>
      <c r="D31" s="5" t="s">
        <v>35</v>
      </c>
      <c r="E31" s="17">
        <v>140000</v>
      </c>
      <c r="F31" s="17">
        <f>SUMIFS(tbContratos[VALOR CONTRATO],tbContratos[OBRA],tbOrçamento[[#This Row],[OBRA]],tbContratos[SUBDISCIPLINA],tbOrçamento[[#This Row],[SUBDISCIPLINA]])</f>
        <v>129800</v>
      </c>
      <c r="G31" s="17">
        <f>tbOrçamento[[#This Row],[ORÇAMENTO BASE ]]-tbOrçamento[[#This Row],[VALOR CONTRATADO]]</f>
        <v>10200</v>
      </c>
      <c r="H31" s="17">
        <f>SUMIFS(tbContratos[VALOR MEDIDO],tbContratos[OBRA],tbOrçamento[[#This Row],[OBRA]],tbContratos[SUBDISCIPLINA],tbOrçamento[[#This Row],[SUBDISCIPLINA]])</f>
        <v>38940</v>
      </c>
      <c r="I31" s="17">
        <f>tbOrçamento[[#This Row],[VALOR CONTRATADO]]-tbOrçamento[[#This Row],[VALOR MEDIDO]]</f>
        <v>90860</v>
      </c>
      <c r="J31" s="5" t="s">
        <v>302</v>
      </c>
    </row>
    <row r="32" spans="1:10" x14ac:dyDescent="0.3">
      <c r="A32" s="5" t="s">
        <v>56</v>
      </c>
      <c r="B32" s="5" t="str">
        <f>_xlfn.XLOOKUP(tbOrçamento[[#This Row],[OBRA]],tbObras[CÓDIGO],tbObras[NOME],"Não encontrado",0)</f>
        <v>Galassi</v>
      </c>
      <c r="C32" s="5" t="s">
        <v>21</v>
      </c>
      <c r="D32" s="5" t="s">
        <v>21</v>
      </c>
      <c r="E32" s="17">
        <v>48000</v>
      </c>
      <c r="F32" s="17">
        <f>SUMIFS(tbContratos[VALOR CONTRATO],tbContratos[OBRA],tbOrçamento[[#This Row],[OBRA]],tbContratos[SUBDISCIPLINA],tbOrçamento[[#This Row],[SUBDISCIPLINA]])</f>
        <v>70000</v>
      </c>
      <c r="G32" s="17">
        <f>tbOrçamento[[#This Row],[ORÇAMENTO BASE ]]-tbOrçamento[[#This Row],[VALOR CONTRATADO]]</f>
        <v>-22000</v>
      </c>
      <c r="H32" s="17">
        <f>SUMIFS(tbContratos[VALOR MEDIDO],tbContratos[OBRA],tbOrçamento[[#This Row],[OBRA]],tbContratos[SUBDISCIPLINA],tbOrçamento[[#This Row],[SUBDISCIPLINA]])</f>
        <v>14000</v>
      </c>
      <c r="I32" s="17">
        <f>tbOrçamento[[#This Row],[VALOR CONTRATADO]]-tbOrçamento[[#This Row],[VALOR MEDIDO]]</f>
        <v>56000</v>
      </c>
      <c r="J32" s="5" t="s">
        <v>302</v>
      </c>
    </row>
    <row r="33" spans="1:10" x14ac:dyDescent="0.3">
      <c r="A33" s="5" t="s">
        <v>56</v>
      </c>
      <c r="B33" s="5" t="str">
        <f>_xlfn.XLOOKUP(tbOrçamento[[#This Row],[OBRA]],tbObras[CÓDIGO],tbObras[NOME],"Não encontrado",0)</f>
        <v>Galassi</v>
      </c>
      <c r="C33" s="5" t="s">
        <v>41</v>
      </c>
      <c r="D33" s="5" t="s">
        <v>41</v>
      </c>
      <c r="E33" s="17">
        <v>10000</v>
      </c>
      <c r="F33" s="17">
        <f>SUMIFS(tbContratos[VALOR CONTRATO],tbContratos[OBRA],tbOrçamento[[#This Row],[OBRA]],tbContratos[SUBDISCIPLINA],tbOrçamento[[#This Row],[SUBDISCIPLINA]])</f>
        <v>0</v>
      </c>
      <c r="G33" s="17">
        <f>tbOrçamento[[#This Row],[ORÇAMENTO BASE ]]-tbOrçamento[[#This Row],[VALOR CONTRATADO]]</f>
        <v>10000</v>
      </c>
      <c r="H33" s="17">
        <f>SUMIFS(tbContratos[VALOR MEDIDO],tbContratos[OBRA],tbOrçamento[[#This Row],[OBRA]],tbContratos[SUBDISCIPLINA],tbOrçamento[[#This Row],[SUBDISCIPLINA]])</f>
        <v>0</v>
      </c>
      <c r="I33" s="17">
        <f>tbOrçamento[[#This Row],[VALOR CONTRATADO]]-tbOrçamento[[#This Row],[VALOR MEDIDO]]</f>
        <v>0</v>
      </c>
      <c r="J33" s="5" t="s">
        <v>40</v>
      </c>
    </row>
    <row r="34" spans="1:10" x14ac:dyDescent="0.3">
      <c r="A34" s="5" t="s">
        <v>56</v>
      </c>
      <c r="B34" s="5" t="str">
        <f>_xlfn.XLOOKUP(tbOrçamento[[#This Row],[OBRA]],tbObras[CÓDIGO],tbObras[NOME],"Não encontrado",0)</f>
        <v>Galassi</v>
      </c>
      <c r="C34" s="5" t="s">
        <v>42</v>
      </c>
      <c r="D34" s="5" t="s">
        <v>42</v>
      </c>
      <c r="E34" s="17">
        <v>10000</v>
      </c>
      <c r="F34" s="17">
        <f>SUMIFS(tbContratos[VALOR CONTRATO],tbContratos[OBRA],tbOrçamento[[#This Row],[OBRA]],tbContratos[SUBDISCIPLINA],tbOrçamento[[#This Row],[SUBDISCIPLINA]])</f>
        <v>0</v>
      </c>
      <c r="G34" s="17">
        <f>tbOrçamento[[#This Row],[ORÇAMENTO BASE ]]-tbOrçamento[[#This Row],[VALOR CONTRATADO]]</f>
        <v>10000</v>
      </c>
      <c r="H34" s="17">
        <f>SUMIFS(tbContratos[VALOR MEDIDO],tbContratos[OBRA],tbOrçamento[[#This Row],[OBRA]],tbContratos[SUBDISCIPLINA],tbOrçamento[[#This Row],[SUBDISCIPLINA]])</f>
        <v>0</v>
      </c>
      <c r="I34" s="17">
        <f>tbOrçamento[[#This Row],[VALOR CONTRATADO]]-tbOrçamento[[#This Row],[VALOR MEDIDO]]</f>
        <v>0</v>
      </c>
      <c r="J34" s="5" t="s">
        <v>40</v>
      </c>
    </row>
    <row r="35" spans="1:10" x14ac:dyDescent="0.3">
      <c r="A35" s="5" t="s">
        <v>56</v>
      </c>
      <c r="B35" s="5" t="str">
        <f>_xlfn.XLOOKUP(tbOrçamento[[#This Row],[OBRA]],tbObras[CÓDIGO],tbObras[NOME],"Não encontrado",0)</f>
        <v>Galassi</v>
      </c>
      <c r="C35" s="5" t="s">
        <v>125</v>
      </c>
      <c r="D35" s="5" t="s">
        <v>125</v>
      </c>
      <c r="E35" s="17">
        <v>15000</v>
      </c>
      <c r="F35" s="17">
        <f>SUMIFS(tbContratos[VALOR CONTRATO],tbContratos[OBRA],tbOrçamento[[#This Row],[OBRA]],tbContratos[SUBDISCIPLINA],tbOrçamento[[#This Row],[SUBDISCIPLINA]])</f>
        <v>0</v>
      </c>
      <c r="G35" s="17">
        <f>tbOrçamento[[#This Row],[ORÇAMENTO BASE ]]-tbOrçamento[[#This Row],[VALOR CONTRATADO]]</f>
        <v>15000</v>
      </c>
      <c r="H35" s="17">
        <f>SUMIFS(tbContratos[VALOR MEDIDO],tbContratos[OBRA],tbOrçamento[[#This Row],[OBRA]],tbContratos[SUBDISCIPLINA],tbOrçamento[[#This Row],[SUBDISCIPLINA]])</f>
        <v>0</v>
      </c>
      <c r="I35" s="17">
        <f>tbOrçamento[[#This Row],[VALOR CONTRATADO]]-tbOrçamento[[#This Row],[VALOR MEDIDO]]</f>
        <v>0</v>
      </c>
      <c r="J35" s="5" t="s">
        <v>40</v>
      </c>
    </row>
    <row r="36" spans="1:10" x14ac:dyDescent="0.3">
      <c r="A36" s="5" t="s">
        <v>56</v>
      </c>
      <c r="B36" s="5" t="str">
        <f>_xlfn.XLOOKUP(tbOrçamento[[#This Row],[OBRA]],tbObras[CÓDIGO],tbObras[NOME],"Não encontrado",0)</f>
        <v>Galassi</v>
      </c>
      <c r="C36" s="5" t="s">
        <v>126</v>
      </c>
      <c r="D36" s="5" t="s">
        <v>126</v>
      </c>
      <c r="E36" s="17">
        <v>7500</v>
      </c>
      <c r="F36" s="17">
        <f>SUMIFS(tbContratos[VALOR CONTRATO],tbContratos[OBRA],tbOrçamento[[#This Row],[OBRA]],tbContratos[SUBDISCIPLINA],tbOrçamento[[#This Row],[SUBDISCIPLINA]])</f>
        <v>0</v>
      </c>
      <c r="G36" s="17">
        <f>tbOrçamento[[#This Row],[ORÇAMENTO BASE ]]-tbOrçamento[[#This Row],[VALOR CONTRATADO]]</f>
        <v>7500</v>
      </c>
      <c r="H36" s="17">
        <f>SUMIFS(tbContratos[VALOR MEDIDO],tbContratos[OBRA],tbOrçamento[[#This Row],[OBRA]],tbContratos[SUBDISCIPLINA],tbOrçamento[[#This Row],[SUBDISCIPLINA]])</f>
        <v>0</v>
      </c>
      <c r="I36" s="17">
        <f>tbOrçamento[[#This Row],[VALOR CONTRATADO]]-tbOrçamento[[#This Row],[VALOR MEDIDO]]</f>
        <v>0</v>
      </c>
      <c r="J36" s="5" t="s">
        <v>40</v>
      </c>
    </row>
    <row r="37" spans="1:10" x14ac:dyDescent="0.3">
      <c r="A37" s="5" t="s">
        <v>56</v>
      </c>
      <c r="B37" s="5" t="str">
        <f>_xlfn.XLOOKUP(tbOrçamento[[#This Row],[OBRA]],tbObras[CÓDIGO],tbObras[NOME],"Não encontrado",0)</f>
        <v>Galassi</v>
      </c>
      <c r="C37" s="5" t="s">
        <v>39</v>
      </c>
      <c r="D37" s="5" t="s">
        <v>39</v>
      </c>
      <c r="E37" s="17">
        <v>6000</v>
      </c>
      <c r="F37" s="17">
        <f>SUMIFS(tbContratos[VALOR CONTRATO],tbContratos[OBRA],tbOrçamento[[#This Row],[OBRA]],tbContratos[SUBDISCIPLINA],tbOrçamento[[#This Row],[SUBDISCIPLINA]])</f>
        <v>5000</v>
      </c>
      <c r="G37" s="17">
        <f>tbOrçamento[[#This Row],[ORÇAMENTO BASE ]]-tbOrçamento[[#This Row],[VALOR CONTRATADO]]</f>
        <v>1000</v>
      </c>
      <c r="H37" s="17">
        <f>SUMIFS(tbContratos[VALOR MEDIDO],tbContratos[OBRA],tbOrçamento[[#This Row],[OBRA]],tbContratos[SUBDISCIPLINA],tbOrçamento[[#This Row],[SUBDISCIPLINA]])</f>
        <v>0</v>
      </c>
      <c r="I37" s="17">
        <f>tbOrçamento[[#This Row],[VALOR CONTRATADO]]-tbOrçamento[[#This Row],[VALOR MEDIDO]]</f>
        <v>5000</v>
      </c>
      <c r="J37" s="5" t="s">
        <v>302</v>
      </c>
    </row>
    <row r="38" spans="1:10" x14ac:dyDescent="0.3">
      <c r="A38" s="5" t="s">
        <v>56</v>
      </c>
      <c r="B38" s="5" t="str">
        <f>_xlfn.XLOOKUP(tbOrçamento[[#This Row],[OBRA]],tbObras[CÓDIGO],tbObras[NOME],"Não encontrado",0)</f>
        <v>Galassi</v>
      </c>
      <c r="C38" s="5" t="s">
        <v>39</v>
      </c>
      <c r="D38" s="5" t="s">
        <v>573</v>
      </c>
      <c r="E38" s="17">
        <v>1500</v>
      </c>
      <c r="F38" s="17">
        <f>SUMIFS(tbContratos[VALOR CONTRATO],tbContratos[OBRA],tbOrçamento[[#This Row],[OBRA]],tbContratos[SUBDISCIPLINA],tbOrçamento[[#This Row],[SUBDISCIPLINA]])</f>
        <v>0</v>
      </c>
      <c r="G38" s="17">
        <f>tbOrçamento[[#This Row],[ORÇAMENTO BASE ]]-tbOrçamento[[#This Row],[VALOR CONTRATADO]]</f>
        <v>1500</v>
      </c>
      <c r="H38" s="17">
        <f>SUMIFS(tbContratos[VALOR MEDIDO],tbContratos[OBRA],tbOrçamento[[#This Row],[OBRA]],tbContratos[SUBDISCIPLINA],tbOrçamento[[#This Row],[SUBDISCIPLINA]])</f>
        <v>0</v>
      </c>
      <c r="I38" s="17">
        <f>tbOrçamento[[#This Row],[VALOR CONTRATADO]]-tbOrçamento[[#This Row],[VALOR MEDIDO]]</f>
        <v>0</v>
      </c>
      <c r="J38" s="5" t="s">
        <v>40</v>
      </c>
    </row>
    <row r="39" spans="1:10" x14ac:dyDescent="0.3">
      <c r="A39" s="5" t="s">
        <v>56</v>
      </c>
      <c r="B39" s="5" t="str">
        <f>_xlfn.XLOOKUP(tbOrçamento[[#This Row],[OBRA]],tbObras[CÓDIGO],tbObras[NOME],"Não encontrado",0)</f>
        <v>Galassi</v>
      </c>
      <c r="C39" s="5" t="s">
        <v>127</v>
      </c>
      <c r="D39" s="5" t="s">
        <v>128</v>
      </c>
      <c r="E39" s="17">
        <v>5000</v>
      </c>
      <c r="F39" s="17">
        <f>SUMIFS(tbContratos[VALOR CONTRATO],tbContratos[OBRA],tbOrçamento[[#This Row],[OBRA]],tbContratos[SUBDISCIPLINA],tbOrçamento[[#This Row],[SUBDISCIPLINA]])</f>
        <v>0</v>
      </c>
      <c r="G39" s="17">
        <f>tbOrçamento[[#This Row],[ORÇAMENTO BASE ]]-tbOrçamento[[#This Row],[VALOR CONTRATADO]]</f>
        <v>5000</v>
      </c>
      <c r="H39" s="17">
        <f>SUMIFS(tbContratos[VALOR MEDIDO],tbContratos[OBRA],tbOrçamento[[#This Row],[OBRA]],tbContratos[SUBDISCIPLINA],tbOrçamento[[#This Row],[SUBDISCIPLINA]])</f>
        <v>0</v>
      </c>
      <c r="I39" s="17">
        <f>tbOrçamento[[#This Row],[VALOR CONTRATADO]]-tbOrçamento[[#This Row],[VALOR MEDIDO]]</f>
        <v>0</v>
      </c>
      <c r="J39" s="5" t="s">
        <v>40</v>
      </c>
    </row>
    <row r="40" spans="1:10" x14ac:dyDescent="0.3">
      <c r="A40" s="5" t="s">
        <v>56</v>
      </c>
      <c r="B40" s="5" t="str">
        <f>_xlfn.XLOOKUP(tbOrçamento[[#This Row],[OBRA]],tbObras[CÓDIGO],tbObras[NOME],"Não encontrado",0)</f>
        <v>Galassi</v>
      </c>
      <c r="C40" s="5" t="s">
        <v>127</v>
      </c>
      <c r="D40" s="5" t="s">
        <v>129</v>
      </c>
      <c r="E40" s="17">
        <v>10000</v>
      </c>
      <c r="F40" s="17">
        <f>SUMIFS(tbContratos[VALOR CONTRATO],tbContratos[OBRA],tbOrçamento[[#This Row],[OBRA]],tbContratos[SUBDISCIPLINA],tbOrçamento[[#This Row],[SUBDISCIPLINA]])</f>
        <v>0</v>
      </c>
      <c r="G40" s="17">
        <f>tbOrçamento[[#This Row],[ORÇAMENTO BASE ]]-tbOrçamento[[#This Row],[VALOR CONTRATADO]]</f>
        <v>10000</v>
      </c>
      <c r="H40" s="17">
        <f>SUMIFS(tbContratos[VALOR MEDIDO],tbContratos[OBRA],tbOrçamento[[#This Row],[OBRA]],tbContratos[SUBDISCIPLINA],tbOrçamento[[#This Row],[SUBDISCIPLINA]])</f>
        <v>0</v>
      </c>
      <c r="I40" s="17">
        <f>tbOrçamento[[#This Row],[VALOR CONTRATADO]]-tbOrçamento[[#This Row],[VALOR MEDIDO]]</f>
        <v>0</v>
      </c>
      <c r="J40" s="5" t="s">
        <v>40</v>
      </c>
    </row>
    <row r="41" spans="1:10" x14ac:dyDescent="0.3">
      <c r="A41" s="5" t="s">
        <v>56</v>
      </c>
      <c r="B41" s="5" t="str">
        <f>_xlfn.XLOOKUP(tbOrçamento[[#This Row],[OBRA]],tbObras[CÓDIGO],tbObras[NOME],"Não encontrado",0)</f>
        <v>Galassi</v>
      </c>
      <c r="C41" s="5" t="s">
        <v>127</v>
      </c>
      <c r="D41" s="5" t="s">
        <v>132</v>
      </c>
      <c r="E41" s="17"/>
      <c r="F41" s="17">
        <f>SUMIFS(tbContratos[VALOR CONTRATO],tbContratos[OBRA],tbOrçamento[[#This Row],[OBRA]],tbContratos[SUBDISCIPLINA],tbOrçamento[[#This Row],[SUBDISCIPLINA]])</f>
        <v>0</v>
      </c>
      <c r="G41" s="17">
        <f>tbOrçamento[[#This Row],[ORÇAMENTO BASE ]]-tbOrçamento[[#This Row],[VALOR CONTRATADO]]</f>
        <v>0</v>
      </c>
      <c r="H41" s="17">
        <f>SUMIFS(tbContratos[VALOR MEDIDO],tbContratos[OBRA],tbOrçamento[[#This Row],[OBRA]],tbContratos[SUBDISCIPLINA],tbOrçamento[[#This Row],[SUBDISCIPLINA]])</f>
        <v>0</v>
      </c>
      <c r="I41" s="17">
        <f>tbOrçamento[[#This Row],[VALOR CONTRATADO]]-tbOrçamento[[#This Row],[VALOR MEDIDO]]</f>
        <v>0</v>
      </c>
      <c r="J41" s="5" t="s">
        <v>40</v>
      </c>
    </row>
    <row r="42" spans="1:10" x14ac:dyDescent="0.3">
      <c r="A42" s="5" t="s">
        <v>56</v>
      </c>
      <c r="B42" s="5" t="str">
        <f>_xlfn.XLOOKUP(tbOrçamento[[#This Row],[OBRA]],tbObras[CÓDIGO],tbObras[NOME],"Não encontrado",0)</f>
        <v>Galassi</v>
      </c>
      <c r="C42" s="5" t="s">
        <v>92</v>
      </c>
      <c r="D42" s="5" t="s">
        <v>323</v>
      </c>
      <c r="E42" s="17">
        <v>10000</v>
      </c>
      <c r="F42" s="17">
        <f>SUMIFS(tbContratos[VALOR CONTRATO],tbContratos[OBRA],tbOrçamento[[#This Row],[OBRA]],tbContratos[SUBDISCIPLINA],tbOrçamento[[#This Row],[SUBDISCIPLINA]])</f>
        <v>6248.3099999999995</v>
      </c>
      <c r="G42" s="17">
        <f>tbOrçamento[[#This Row],[ORÇAMENTO BASE ]]-tbOrçamento[[#This Row],[VALOR CONTRATADO]]</f>
        <v>3751.6900000000005</v>
      </c>
      <c r="H42" s="17">
        <f>SUMIFS(tbContratos[VALOR MEDIDO],tbContratos[OBRA],tbOrçamento[[#This Row],[OBRA]],tbContratos[SUBDISCIPLINA],tbOrçamento[[#This Row],[SUBDISCIPLINA]])</f>
        <v>1874.4929999999997</v>
      </c>
      <c r="I42" s="17">
        <f>tbOrçamento[[#This Row],[VALOR CONTRATADO]]-tbOrçamento[[#This Row],[VALOR MEDIDO]]</f>
        <v>4373.817</v>
      </c>
      <c r="J42" s="5" t="s">
        <v>302</v>
      </c>
    </row>
    <row r="43" spans="1:10" x14ac:dyDescent="0.3">
      <c r="A43" s="5" t="s">
        <v>56</v>
      </c>
      <c r="B43" s="5" t="str">
        <f>_xlfn.XLOOKUP(tbOrçamento[[#This Row],[OBRA]],tbObras[CÓDIGO],tbObras[NOME],"Não encontrado",0)</f>
        <v>Galassi</v>
      </c>
      <c r="C43" s="5" t="s">
        <v>92</v>
      </c>
      <c r="D43" s="5" t="s">
        <v>325</v>
      </c>
      <c r="E43" s="17">
        <v>25000</v>
      </c>
      <c r="F43" s="17">
        <f>SUMIFS(tbContratos[VALOR CONTRATO],tbContratos[OBRA],tbOrçamento[[#This Row],[OBRA]],tbContratos[SUBDISCIPLINA],tbOrçamento[[#This Row],[SUBDISCIPLINA]])</f>
        <v>0</v>
      </c>
      <c r="G43" s="17">
        <f>tbOrçamento[[#This Row],[ORÇAMENTO BASE ]]-tbOrçamento[[#This Row],[VALOR CONTRATADO]]</f>
        <v>25000</v>
      </c>
      <c r="H43" s="17">
        <f>SUMIFS(tbContratos[VALOR MEDIDO],tbContratos[OBRA],tbOrçamento[[#This Row],[OBRA]],tbContratos[SUBDISCIPLINA],tbOrçamento[[#This Row],[SUBDISCIPLINA]])</f>
        <v>0</v>
      </c>
      <c r="I43" s="17">
        <f>tbOrçamento[[#This Row],[VALOR CONTRATADO]]-tbOrçamento[[#This Row],[VALOR MEDIDO]]</f>
        <v>0</v>
      </c>
      <c r="J43" s="5" t="s">
        <v>40</v>
      </c>
    </row>
    <row r="44" spans="1:10" x14ac:dyDescent="0.3">
      <c r="A44" s="5" t="s">
        <v>56</v>
      </c>
      <c r="B44" s="5" t="str">
        <f>_xlfn.XLOOKUP(tbOrçamento[[#This Row],[OBRA]],tbObras[CÓDIGO],tbObras[NOME],"Não encontrado",0)</f>
        <v>Galassi</v>
      </c>
      <c r="C44" s="5" t="s">
        <v>335</v>
      </c>
      <c r="D44" s="5" t="s">
        <v>325</v>
      </c>
      <c r="E44" s="17">
        <v>15000</v>
      </c>
      <c r="F44" s="17">
        <f>SUMIFS(tbContratos[VALOR CONTRATO],tbContratos[OBRA],tbOrçamento[[#This Row],[OBRA]],tbContratos[SUBDISCIPLINA],tbOrçamento[[#This Row],[SUBDISCIPLINA]])</f>
        <v>0</v>
      </c>
      <c r="G44" s="17">
        <f>tbOrçamento[[#This Row],[ORÇAMENTO BASE ]]-tbOrçamento[[#This Row],[VALOR CONTRATADO]]</f>
        <v>15000</v>
      </c>
      <c r="H44" s="17">
        <f>SUMIFS(tbContratos[VALOR MEDIDO],tbContratos[OBRA],tbOrçamento[[#This Row],[OBRA]],tbContratos[SUBDISCIPLINA],tbOrçamento[[#This Row],[SUBDISCIPLINA]])</f>
        <v>0</v>
      </c>
      <c r="I44" s="17">
        <f>tbOrçamento[[#This Row],[VALOR CONTRATADO]]-tbOrçamento[[#This Row],[VALOR MEDIDO]]</f>
        <v>0</v>
      </c>
      <c r="J44" s="5" t="s">
        <v>40</v>
      </c>
    </row>
    <row r="45" spans="1:10" x14ac:dyDescent="0.3">
      <c r="A45" s="5" t="s">
        <v>56</v>
      </c>
      <c r="B45" s="5" t="str">
        <f>_xlfn.XLOOKUP(tbOrçamento[[#This Row],[OBRA]],tbObras[CÓDIGO],tbObras[NOME],"Não encontrado",0)</f>
        <v>Galassi</v>
      </c>
      <c r="C45" s="5" t="s">
        <v>25</v>
      </c>
      <c r="D45" s="5" t="s">
        <v>25</v>
      </c>
      <c r="E45" s="17">
        <v>304579.20000000001</v>
      </c>
      <c r="F45" s="17">
        <f>SUMIFS(tbContratos[VALOR CONTRATO],tbContratos[OBRA],tbOrçamento[[#This Row],[OBRA]],tbContratos[SUBDISCIPLINA],tbOrçamento[[#This Row],[SUBDISCIPLINA]])</f>
        <v>304579.20000000001</v>
      </c>
      <c r="G45" s="17">
        <f>tbOrçamento[[#This Row],[ORÇAMENTO BASE ]]-tbOrçamento[[#This Row],[VALOR CONTRATADO]]</f>
        <v>0</v>
      </c>
      <c r="H45" s="17">
        <f>SUMIFS(tbContratos[VALOR MEDIDO],tbContratos[OBRA],tbOrçamento[[#This Row],[OBRA]],tbContratos[SUBDISCIPLINA],tbOrçamento[[#This Row],[SUBDISCIPLINA]])</f>
        <v>18111.22</v>
      </c>
      <c r="I45" s="17">
        <f>tbOrçamento[[#This Row],[VALOR CONTRATADO]]-tbOrçamento[[#This Row],[VALOR MEDIDO]]</f>
        <v>286467.98</v>
      </c>
      <c r="J45" s="5" t="s">
        <v>40</v>
      </c>
    </row>
    <row r="46" spans="1:10" x14ac:dyDescent="0.3">
      <c r="A46" s="5" t="s">
        <v>57</v>
      </c>
      <c r="B46" s="5" t="str">
        <f>_xlfn.XLOOKUP(tbOrçamento[[#This Row],[OBRA]],tbObras[CÓDIGO],tbObras[NOME],"Não encontrado",0)</f>
        <v>Parque Sul</v>
      </c>
      <c r="C46" s="5" t="s">
        <v>23</v>
      </c>
      <c r="D46" s="5" t="s">
        <v>23</v>
      </c>
      <c r="E46" s="17">
        <v>25000</v>
      </c>
      <c r="F46" s="17">
        <f>SUMIFS(tbContratos[VALOR CONTRATO],tbContratos[OBRA],tbOrçamento[[#This Row],[OBRA]],tbContratos[SUBDISCIPLINA],tbOrçamento[[#This Row],[SUBDISCIPLINA]])</f>
        <v>23556.1</v>
      </c>
      <c r="G46" s="17">
        <f>tbOrçamento[[#This Row],[ORÇAMENTO BASE ]]-tbOrçamento[[#This Row],[VALOR CONTRATADO]]</f>
        <v>1443.9000000000015</v>
      </c>
      <c r="H46" s="17">
        <f>SUMIFS(tbContratos[VALOR MEDIDO],tbContratos[OBRA],tbOrçamento[[#This Row],[OBRA]],tbContratos[SUBDISCIPLINA],tbOrçamento[[#This Row],[SUBDISCIPLINA]])</f>
        <v>23556.1</v>
      </c>
      <c r="I46" s="17">
        <f>tbOrçamento[[#This Row],[VALOR CONTRATADO]]-tbOrçamento[[#This Row],[VALOR MEDIDO]]</f>
        <v>0</v>
      </c>
      <c r="J46" s="5" t="s">
        <v>302</v>
      </c>
    </row>
    <row r="47" spans="1:10" x14ac:dyDescent="0.3">
      <c r="A47" s="5" t="s">
        <v>57</v>
      </c>
      <c r="B47" s="5" t="str">
        <f>_xlfn.XLOOKUP(tbOrçamento[[#This Row],[OBRA]],tbObras[CÓDIGO],tbObras[NOME],"Não encontrado",0)</f>
        <v>Parque Sul</v>
      </c>
      <c r="C47" s="5" t="s">
        <v>29</v>
      </c>
      <c r="D47" s="5" t="s">
        <v>29</v>
      </c>
      <c r="E47" s="17">
        <v>5000</v>
      </c>
      <c r="F47" s="17">
        <f>SUMIFS(tbContratos[VALOR CONTRATO],tbContratos[OBRA],tbOrçamento[[#This Row],[OBRA]],tbContratos[SUBDISCIPLINA],tbOrçamento[[#This Row],[SUBDISCIPLINA]])</f>
        <v>1300</v>
      </c>
      <c r="G47" s="17">
        <f>tbOrçamento[[#This Row],[ORÇAMENTO BASE ]]-tbOrçamento[[#This Row],[VALOR CONTRATADO]]</f>
        <v>3700</v>
      </c>
      <c r="H47" s="17">
        <f>SUMIFS(tbContratos[VALOR MEDIDO],tbContratos[OBRA],tbOrçamento[[#This Row],[OBRA]],tbContratos[SUBDISCIPLINA],tbOrçamento[[#This Row],[SUBDISCIPLINA]])</f>
        <v>1300</v>
      </c>
      <c r="I47" s="17">
        <f>tbOrçamento[[#This Row],[VALOR CONTRATADO]]-tbOrçamento[[#This Row],[VALOR MEDIDO]]</f>
        <v>0</v>
      </c>
      <c r="J47" s="5" t="s">
        <v>302</v>
      </c>
    </row>
    <row r="48" spans="1:10" x14ac:dyDescent="0.3">
      <c r="A48" s="5" t="s">
        <v>57</v>
      </c>
      <c r="B48" s="5" t="str">
        <f>_xlfn.XLOOKUP(tbOrçamento[[#This Row],[OBRA]],tbObras[CÓDIGO],tbObras[NOME],"Não encontrado",0)</f>
        <v>Parque Sul</v>
      </c>
      <c r="C48" s="5" t="s">
        <v>103</v>
      </c>
      <c r="D48" s="5" t="s">
        <v>113</v>
      </c>
      <c r="E48" s="17">
        <v>160000</v>
      </c>
      <c r="F48" s="17">
        <f>SUMIFS(tbContratos[VALOR CONTRATO],tbContratos[OBRA],tbOrçamento[[#This Row],[OBRA]],tbContratos[SUBDISCIPLINA],tbOrçamento[[#This Row],[SUBDISCIPLINA]])</f>
        <v>160000</v>
      </c>
      <c r="G48" s="17">
        <f>tbOrçamento[[#This Row],[ORÇAMENTO BASE ]]-tbOrçamento[[#This Row],[VALOR CONTRATADO]]</f>
        <v>0</v>
      </c>
      <c r="H48" s="17">
        <f>SUMIFS(tbContratos[VALOR MEDIDO],tbContratos[OBRA],tbOrçamento[[#This Row],[OBRA]],tbContratos[SUBDISCIPLINA],tbOrçamento[[#This Row],[SUBDISCIPLINA]])</f>
        <v>64000</v>
      </c>
      <c r="I48" s="17">
        <f>tbOrçamento[[#This Row],[VALOR CONTRATADO]]-tbOrçamento[[#This Row],[VALOR MEDIDO]]</f>
        <v>96000</v>
      </c>
      <c r="J48" s="5" t="s">
        <v>302</v>
      </c>
    </row>
    <row r="49" spans="1:10" x14ac:dyDescent="0.3">
      <c r="A49" s="5" t="s">
        <v>57</v>
      </c>
      <c r="B49" s="5" t="str">
        <f>_xlfn.XLOOKUP(tbOrçamento[[#This Row],[OBRA]],tbObras[CÓDIGO],tbObras[NOME],"Não encontrado",0)</f>
        <v>Parque Sul</v>
      </c>
      <c r="C49" s="5" t="s">
        <v>103</v>
      </c>
      <c r="D49" s="5" t="s">
        <v>104</v>
      </c>
      <c r="E49" s="17">
        <v>59800</v>
      </c>
      <c r="F49" s="17">
        <f>SUMIFS(tbContratos[VALOR CONTRATO],tbContratos[OBRA],tbOrçamento[[#This Row],[OBRA]],tbContratos[SUBDISCIPLINA],tbOrçamento[[#This Row],[SUBDISCIPLINA]])</f>
        <v>0</v>
      </c>
      <c r="G49" s="17">
        <f>tbOrçamento[[#This Row],[ORÇAMENTO BASE ]]-tbOrçamento[[#This Row],[VALOR CONTRATADO]]</f>
        <v>59800</v>
      </c>
      <c r="H49" s="17">
        <f>SUMIFS(tbContratos[VALOR MEDIDO],tbContratos[OBRA],tbOrçamento[[#This Row],[OBRA]],tbContratos[SUBDISCIPLINA],tbOrçamento[[#This Row],[SUBDISCIPLINA]])</f>
        <v>0</v>
      </c>
      <c r="I49" s="17">
        <f>tbOrçamento[[#This Row],[VALOR CONTRATADO]]-tbOrçamento[[#This Row],[VALOR MEDIDO]]</f>
        <v>0</v>
      </c>
      <c r="J49" s="5" t="s">
        <v>303</v>
      </c>
    </row>
    <row r="50" spans="1:10" x14ac:dyDescent="0.3">
      <c r="A50" s="5" t="s">
        <v>57</v>
      </c>
      <c r="B50" s="5" t="str">
        <f>_xlfn.XLOOKUP(tbOrçamento[[#This Row],[OBRA]],tbObras[CÓDIGO],tbObras[NOME],"Não encontrado",0)</f>
        <v>Parque Sul</v>
      </c>
      <c r="C50" s="5" t="s">
        <v>91</v>
      </c>
      <c r="D50" s="5" t="s">
        <v>114</v>
      </c>
      <c r="E50" s="17">
        <v>225000</v>
      </c>
      <c r="F50" s="17">
        <f>SUMIFS(tbContratos[VALOR CONTRATO],tbContratos[OBRA],tbOrçamento[[#This Row],[OBRA]],tbContratos[SUBDISCIPLINA],tbOrçamento[[#This Row],[SUBDISCIPLINA]])</f>
        <v>210000</v>
      </c>
      <c r="G50" s="17">
        <f>tbOrçamento[[#This Row],[ORÇAMENTO BASE ]]-tbOrçamento[[#This Row],[VALOR CONTRATADO]]</f>
        <v>15000</v>
      </c>
      <c r="H50" s="17">
        <f>SUMIFS(tbContratos[VALOR MEDIDO],tbContratos[OBRA],tbOrçamento[[#This Row],[OBRA]],tbContratos[SUBDISCIPLINA],tbOrçamento[[#This Row],[SUBDISCIPLINA]])</f>
        <v>31500</v>
      </c>
      <c r="I50" s="17">
        <f>tbOrçamento[[#This Row],[VALOR CONTRATADO]]-tbOrçamento[[#This Row],[VALOR MEDIDO]]</f>
        <v>178500</v>
      </c>
      <c r="J50" s="5" t="s">
        <v>302</v>
      </c>
    </row>
    <row r="51" spans="1:10" x14ac:dyDescent="0.3">
      <c r="A51" s="5" t="s">
        <v>57</v>
      </c>
      <c r="B51" s="5" t="str">
        <f>_xlfn.XLOOKUP(tbOrçamento[[#This Row],[OBRA]],tbObras[CÓDIGO],tbObras[NOME],"Não encontrado",0)</f>
        <v>Parque Sul</v>
      </c>
      <c r="C51" s="5" t="s">
        <v>33</v>
      </c>
      <c r="D51" s="5" t="s">
        <v>119</v>
      </c>
      <c r="E51" s="17">
        <v>30000</v>
      </c>
      <c r="F51" s="17">
        <f>SUMIFS(tbContratos[VALOR CONTRATO],tbContratos[OBRA],tbOrçamento[[#This Row],[OBRA]],tbContratos[SUBDISCIPLINA],tbOrçamento[[#This Row],[SUBDISCIPLINA]])</f>
        <v>30000</v>
      </c>
      <c r="G51" s="17">
        <f>tbOrçamento[[#This Row],[ORÇAMENTO BASE ]]-tbOrçamento[[#This Row],[VALOR CONTRATADO]]</f>
        <v>0</v>
      </c>
      <c r="H51" s="17">
        <f>SUMIFS(tbContratos[VALOR MEDIDO],tbContratos[OBRA],tbOrçamento[[#This Row],[OBRA]],tbContratos[SUBDISCIPLINA],tbOrçamento[[#This Row],[SUBDISCIPLINA]])</f>
        <v>0</v>
      </c>
      <c r="I51" s="17">
        <f>tbOrçamento[[#This Row],[VALOR CONTRATADO]]-tbOrçamento[[#This Row],[VALOR MEDIDO]]</f>
        <v>30000</v>
      </c>
      <c r="J51" s="5" t="s">
        <v>302</v>
      </c>
    </row>
    <row r="52" spans="1:10" x14ac:dyDescent="0.3">
      <c r="A52" s="5" t="s">
        <v>57</v>
      </c>
      <c r="B52" s="5" t="str">
        <f>_xlfn.XLOOKUP(tbOrçamento[[#This Row],[OBRA]],tbObras[CÓDIGO],tbObras[NOME],"Não encontrado",0)</f>
        <v>Parque Sul</v>
      </c>
      <c r="C52" s="5" t="s">
        <v>33</v>
      </c>
      <c r="D52" s="5" t="s">
        <v>121</v>
      </c>
      <c r="E52" s="17">
        <v>5000</v>
      </c>
      <c r="F52" s="17">
        <f>SUMIFS(tbContratos[VALOR CONTRATO],tbContratos[OBRA],tbOrçamento[[#This Row],[OBRA]],tbContratos[SUBDISCIPLINA],tbOrçamento[[#This Row],[SUBDISCIPLINA]])</f>
        <v>0</v>
      </c>
      <c r="G52" s="17">
        <f>tbOrçamento[[#This Row],[ORÇAMENTO BASE ]]-tbOrçamento[[#This Row],[VALOR CONTRATADO]]</f>
        <v>5000</v>
      </c>
      <c r="H52" s="17">
        <f>SUMIFS(tbContratos[VALOR MEDIDO],tbContratos[OBRA],tbOrçamento[[#This Row],[OBRA]],tbContratos[SUBDISCIPLINA],tbOrçamento[[#This Row],[SUBDISCIPLINA]])</f>
        <v>0</v>
      </c>
      <c r="I52" s="17">
        <f>tbOrçamento[[#This Row],[VALOR CONTRATADO]]-tbOrçamento[[#This Row],[VALOR MEDIDO]]</f>
        <v>0</v>
      </c>
      <c r="J52" s="5" t="s">
        <v>40</v>
      </c>
    </row>
    <row r="53" spans="1:10" x14ac:dyDescent="0.3">
      <c r="A53" s="5" t="s">
        <v>57</v>
      </c>
      <c r="B53" s="5" t="str">
        <f>_xlfn.XLOOKUP(tbOrçamento[[#This Row],[OBRA]],tbObras[CÓDIGO],tbObras[NOME],"Não encontrado",0)</f>
        <v>Parque Sul</v>
      </c>
      <c r="C53" s="5" t="s">
        <v>35</v>
      </c>
      <c r="D53" s="5" t="s">
        <v>35</v>
      </c>
      <c r="E53" s="17">
        <v>188700</v>
      </c>
      <c r="F53" s="17">
        <f>SUMIFS(tbContratos[VALOR CONTRATO],tbContratos[OBRA],tbOrçamento[[#This Row],[OBRA]],tbContratos[SUBDISCIPLINA],tbOrçamento[[#This Row],[SUBDISCIPLINA]])</f>
        <v>179500</v>
      </c>
      <c r="G53" s="17">
        <f>tbOrçamento[[#This Row],[ORÇAMENTO BASE ]]-tbOrçamento[[#This Row],[VALOR CONTRATADO]]</f>
        <v>9200</v>
      </c>
      <c r="H53" s="17">
        <f>SUMIFS(tbContratos[VALOR MEDIDO],tbContratos[OBRA],tbOrçamento[[#This Row],[OBRA]],tbContratos[SUBDISCIPLINA],tbOrçamento[[#This Row],[SUBDISCIPLINA]])</f>
        <v>53850</v>
      </c>
      <c r="I53" s="17">
        <f>tbOrçamento[[#This Row],[VALOR CONTRATADO]]-tbOrçamento[[#This Row],[VALOR MEDIDO]]</f>
        <v>125650</v>
      </c>
      <c r="J53" s="5" t="s">
        <v>302</v>
      </c>
    </row>
    <row r="54" spans="1:10" x14ac:dyDescent="0.3">
      <c r="A54" s="5" t="s">
        <v>57</v>
      </c>
      <c r="B54" s="5" t="str">
        <f>_xlfn.XLOOKUP(tbOrçamento[[#This Row],[OBRA]],tbObras[CÓDIGO],tbObras[NOME],"Não encontrado",0)</f>
        <v>Parque Sul</v>
      </c>
      <c r="C54" s="5" t="s">
        <v>21</v>
      </c>
      <c r="D54" s="5" t="s">
        <v>21</v>
      </c>
      <c r="E54" s="17">
        <v>82500</v>
      </c>
      <c r="F54" s="17">
        <f>SUMIFS(tbContratos[VALOR CONTRATO],tbContratos[OBRA],tbOrçamento[[#This Row],[OBRA]],tbContratos[SUBDISCIPLINA],tbOrçamento[[#This Row],[SUBDISCIPLINA]])</f>
        <v>0</v>
      </c>
      <c r="G54" s="17">
        <f>tbOrçamento[[#This Row],[ORÇAMENTO BASE ]]-tbOrçamento[[#This Row],[VALOR CONTRATADO]]</f>
        <v>82500</v>
      </c>
      <c r="H54" s="17">
        <f>SUMIFS(tbContratos[VALOR MEDIDO],tbContratos[OBRA],tbOrçamento[[#This Row],[OBRA]],tbContratos[SUBDISCIPLINA],tbOrçamento[[#This Row],[SUBDISCIPLINA]])</f>
        <v>0</v>
      </c>
      <c r="I54" s="17">
        <f>tbOrçamento[[#This Row],[VALOR CONTRATADO]]-tbOrçamento[[#This Row],[VALOR MEDIDO]]</f>
        <v>0</v>
      </c>
      <c r="J54" s="5" t="s">
        <v>40</v>
      </c>
    </row>
    <row r="55" spans="1:10" x14ac:dyDescent="0.3">
      <c r="A55" s="5" t="s">
        <v>57</v>
      </c>
      <c r="B55" s="5" t="str">
        <f>_xlfn.XLOOKUP(tbOrçamento[[#This Row],[OBRA]],tbObras[CÓDIGO],tbObras[NOME],"Não encontrado",0)</f>
        <v>Parque Sul</v>
      </c>
      <c r="C55" s="5" t="s">
        <v>41</v>
      </c>
      <c r="D55" s="5" t="s">
        <v>41</v>
      </c>
      <c r="E55" s="17">
        <v>20000</v>
      </c>
      <c r="F55" s="17">
        <f>SUMIFS(tbContratos[VALOR CONTRATO],tbContratos[OBRA],tbOrçamento[[#This Row],[OBRA]],tbContratos[SUBDISCIPLINA],tbOrçamento[[#This Row],[SUBDISCIPLINA]])</f>
        <v>0</v>
      </c>
      <c r="G55" s="17">
        <f>tbOrçamento[[#This Row],[ORÇAMENTO BASE ]]-tbOrçamento[[#This Row],[VALOR CONTRATADO]]</f>
        <v>20000</v>
      </c>
      <c r="H55" s="17">
        <f>SUMIFS(tbContratos[VALOR MEDIDO],tbContratos[OBRA],tbOrçamento[[#This Row],[OBRA]],tbContratos[SUBDISCIPLINA],tbOrçamento[[#This Row],[SUBDISCIPLINA]])</f>
        <v>0</v>
      </c>
      <c r="I55" s="17">
        <f>tbOrçamento[[#This Row],[VALOR CONTRATADO]]-tbOrçamento[[#This Row],[VALOR MEDIDO]]</f>
        <v>0</v>
      </c>
      <c r="J55" s="5" t="s">
        <v>40</v>
      </c>
    </row>
    <row r="56" spans="1:10" x14ac:dyDescent="0.3">
      <c r="A56" s="5" t="s">
        <v>57</v>
      </c>
      <c r="B56" s="5" t="str">
        <f>_xlfn.XLOOKUP(tbOrçamento[[#This Row],[OBRA]],tbObras[CÓDIGO],tbObras[NOME],"Não encontrado",0)</f>
        <v>Parque Sul</v>
      </c>
      <c r="C56" s="5" t="s">
        <v>42</v>
      </c>
      <c r="D56" s="5" t="s">
        <v>42</v>
      </c>
      <c r="E56" s="17">
        <v>40000</v>
      </c>
      <c r="F56" s="17">
        <f>SUMIFS(tbContratos[VALOR CONTRATO],tbContratos[OBRA],tbOrçamento[[#This Row],[OBRA]],tbContratos[SUBDISCIPLINA],tbOrçamento[[#This Row],[SUBDISCIPLINA]])</f>
        <v>0</v>
      </c>
      <c r="G56" s="17">
        <f>tbOrçamento[[#This Row],[ORÇAMENTO BASE ]]-tbOrçamento[[#This Row],[VALOR CONTRATADO]]</f>
        <v>40000</v>
      </c>
      <c r="H56" s="17">
        <f>SUMIFS(tbContratos[VALOR MEDIDO],tbContratos[OBRA],tbOrçamento[[#This Row],[OBRA]],tbContratos[SUBDISCIPLINA],tbOrçamento[[#This Row],[SUBDISCIPLINA]])</f>
        <v>0</v>
      </c>
      <c r="I56" s="17">
        <f>tbOrçamento[[#This Row],[VALOR CONTRATADO]]-tbOrçamento[[#This Row],[VALOR MEDIDO]]</f>
        <v>0</v>
      </c>
      <c r="J56" s="5" t="s">
        <v>40</v>
      </c>
    </row>
    <row r="57" spans="1:10" x14ac:dyDescent="0.3">
      <c r="A57" s="5" t="s">
        <v>57</v>
      </c>
      <c r="B57" s="5" t="str">
        <f>_xlfn.XLOOKUP(tbOrçamento[[#This Row],[OBRA]],tbObras[CÓDIGO],tbObras[NOME],"Não encontrado",0)</f>
        <v>Parque Sul</v>
      </c>
      <c r="C57" s="5" t="s">
        <v>125</v>
      </c>
      <c r="D57" s="5" t="s">
        <v>125</v>
      </c>
      <c r="E57" s="17">
        <v>15000</v>
      </c>
      <c r="F57" s="17">
        <f>SUMIFS(tbContratos[VALOR CONTRATO],tbContratos[OBRA],tbOrçamento[[#This Row],[OBRA]],tbContratos[SUBDISCIPLINA],tbOrçamento[[#This Row],[SUBDISCIPLINA]])</f>
        <v>0</v>
      </c>
      <c r="G57" s="17">
        <f>tbOrçamento[[#This Row],[ORÇAMENTO BASE ]]-tbOrçamento[[#This Row],[VALOR CONTRATADO]]</f>
        <v>15000</v>
      </c>
      <c r="H57" s="17">
        <f>SUMIFS(tbContratos[VALOR MEDIDO],tbContratos[OBRA],tbOrçamento[[#This Row],[OBRA]],tbContratos[SUBDISCIPLINA],tbOrçamento[[#This Row],[SUBDISCIPLINA]])</f>
        <v>0</v>
      </c>
      <c r="I57" s="17">
        <f>tbOrçamento[[#This Row],[VALOR CONTRATADO]]-tbOrçamento[[#This Row],[VALOR MEDIDO]]</f>
        <v>0</v>
      </c>
      <c r="J57" s="5" t="s">
        <v>40</v>
      </c>
    </row>
    <row r="58" spans="1:10" x14ac:dyDescent="0.3">
      <c r="A58" s="5" t="s">
        <v>57</v>
      </c>
      <c r="B58" s="5" t="str">
        <f>_xlfn.XLOOKUP(tbOrçamento[[#This Row],[OBRA]],tbObras[CÓDIGO],tbObras[NOME],"Não encontrado",0)</f>
        <v>Parque Sul</v>
      </c>
      <c r="C58" s="5" t="s">
        <v>126</v>
      </c>
      <c r="D58" s="5" t="s">
        <v>126</v>
      </c>
      <c r="E58" s="17">
        <v>7500</v>
      </c>
      <c r="F58" s="17">
        <f>SUMIFS(tbContratos[VALOR CONTRATO],tbContratos[OBRA],tbOrçamento[[#This Row],[OBRA]],tbContratos[SUBDISCIPLINA],tbOrçamento[[#This Row],[SUBDISCIPLINA]])</f>
        <v>0</v>
      </c>
      <c r="G58" s="17">
        <f>tbOrçamento[[#This Row],[ORÇAMENTO BASE ]]-tbOrçamento[[#This Row],[VALOR CONTRATADO]]</f>
        <v>7500</v>
      </c>
      <c r="H58" s="17">
        <f>SUMIFS(tbContratos[VALOR MEDIDO],tbContratos[OBRA],tbOrçamento[[#This Row],[OBRA]],tbContratos[SUBDISCIPLINA],tbOrçamento[[#This Row],[SUBDISCIPLINA]])</f>
        <v>0</v>
      </c>
      <c r="I58" s="17">
        <f>tbOrçamento[[#This Row],[VALOR CONTRATADO]]-tbOrçamento[[#This Row],[VALOR MEDIDO]]</f>
        <v>0</v>
      </c>
      <c r="J58" s="5" t="s">
        <v>40</v>
      </c>
    </row>
    <row r="59" spans="1:10" x14ac:dyDescent="0.3">
      <c r="A59" s="5" t="s">
        <v>57</v>
      </c>
      <c r="B59" s="5" t="str">
        <f>_xlfn.XLOOKUP(tbOrçamento[[#This Row],[OBRA]],tbObras[CÓDIGO],tbObras[NOME],"Não encontrado",0)</f>
        <v>Parque Sul</v>
      </c>
      <c r="C59" s="5" t="s">
        <v>39</v>
      </c>
      <c r="D59" s="5" t="s">
        <v>39</v>
      </c>
      <c r="E59" s="17">
        <v>6000</v>
      </c>
      <c r="F59" s="17">
        <f>SUMIFS(tbContratos[VALOR CONTRATO],tbContratos[OBRA],tbOrçamento[[#This Row],[OBRA]],tbContratos[SUBDISCIPLINA],tbOrçamento[[#This Row],[SUBDISCIPLINA]])</f>
        <v>5000</v>
      </c>
      <c r="G59" s="17">
        <f>tbOrçamento[[#This Row],[ORÇAMENTO BASE ]]-tbOrçamento[[#This Row],[VALOR CONTRATADO]]</f>
        <v>1000</v>
      </c>
      <c r="H59" s="17">
        <f>SUMIFS(tbContratos[VALOR MEDIDO],tbContratos[OBRA],tbOrçamento[[#This Row],[OBRA]],tbContratos[SUBDISCIPLINA],tbOrçamento[[#This Row],[SUBDISCIPLINA]])</f>
        <v>0</v>
      </c>
      <c r="I59" s="17">
        <f>tbOrçamento[[#This Row],[VALOR CONTRATADO]]-tbOrçamento[[#This Row],[VALOR MEDIDO]]</f>
        <v>5000</v>
      </c>
      <c r="J59" s="5" t="s">
        <v>302</v>
      </c>
    </row>
    <row r="60" spans="1:10" x14ac:dyDescent="0.3">
      <c r="A60" s="5" t="s">
        <v>57</v>
      </c>
      <c r="B60" s="5" t="str">
        <f>_xlfn.XLOOKUP(tbOrçamento[[#This Row],[OBRA]],tbObras[CÓDIGO],tbObras[NOME],"Não encontrado",0)</f>
        <v>Parque Sul</v>
      </c>
      <c r="C60" s="5" t="s">
        <v>39</v>
      </c>
      <c r="D60" s="5" t="s">
        <v>573</v>
      </c>
      <c r="E60" s="17">
        <v>1500</v>
      </c>
      <c r="F60" s="17">
        <f>SUMIFS(tbContratos[VALOR CONTRATO],tbContratos[OBRA],tbOrçamento[[#This Row],[OBRA]],tbContratos[SUBDISCIPLINA],tbOrçamento[[#This Row],[SUBDISCIPLINA]])</f>
        <v>0</v>
      </c>
      <c r="G60" s="17">
        <f>tbOrçamento[[#This Row],[ORÇAMENTO BASE ]]-tbOrçamento[[#This Row],[VALOR CONTRATADO]]</f>
        <v>1500</v>
      </c>
      <c r="H60" s="17">
        <f>SUMIFS(tbContratos[VALOR MEDIDO],tbContratos[OBRA],tbOrçamento[[#This Row],[OBRA]],tbContratos[SUBDISCIPLINA],tbOrçamento[[#This Row],[SUBDISCIPLINA]])</f>
        <v>0</v>
      </c>
      <c r="I60" s="17">
        <f>tbOrçamento[[#This Row],[VALOR CONTRATADO]]-tbOrçamento[[#This Row],[VALOR MEDIDO]]</f>
        <v>0</v>
      </c>
      <c r="J60" s="5" t="s">
        <v>40</v>
      </c>
    </row>
    <row r="61" spans="1:10" x14ac:dyDescent="0.3">
      <c r="A61" s="5" t="s">
        <v>57</v>
      </c>
      <c r="B61" s="5" t="str">
        <f>_xlfn.XLOOKUP(tbOrçamento[[#This Row],[OBRA]],tbObras[CÓDIGO],tbObras[NOME],"Não encontrado",0)</f>
        <v>Parque Sul</v>
      </c>
      <c r="C61" s="5" t="s">
        <v>127</v>
      </c>
      <c r="D61" s="5" t="s">
        <v>128</v>
      </c>
      <c r="E61" s="17">
        <v>5000</v>
      </c>
      <c r="F61" s="17">
        <f>SUMIFS(tbContratos[VALOR CONTRATO],tbContratos[OBRA],tbOrçamento[[#This Row],[OBRA]],tbContratos[SUBDISCIPLINA],tbOrçamento[[#This Row],[SUBDISCIPLINA]])</f>
        <v>0</v>
      </c>
      <c r="G61" s="17">
        <f>tbOrçamento[[#This Row],[ORÇAMENTO BASE ]]-tbOrçamento[[#This Row],[VALOR CONTRATADO]]</f>
        <v>5000</v>
      </c>
      <c r="H61" s="17">
        <f>SUMIFS(tbContratos[VALOR MEDIDO],tbContratos[OBRA],tbOrçamento[[#This Row],[OBRA]],tbContratos[SUBDISCIPLINA],tbOrçamento[[#This Row],[SUBDISCIPLINA]])</f>
        <v>0</v>
      </c>
      <c r="I61" s="17">
        <f>tbOrçamento[[#This Row],[VALOR CONTRATADO]]-tbOrçamento[[#This Row],[VALOR MEDIDO]]</f>
        <v>0</v>
      </c>
      <c r="J61" s="5" t="s">
        <v>40</v>
      </c>
    </row>
    <row r="62" spans="1:10" x14ac:dyDescent="0.3">
      <c r="A62" s="5" t="s">
        <v>57</v>
      </c>
      <c r="B62" s="5" t="str">
        <f>_xlfn.XLOOKUP(tbOrçamento[[#This Row],[OBRA]],tbObras[CÓDIGO],tbObras[NOME],"Não encontrado",0)</f>
        <v>Parque Sul</v>
      </c>
      <c r="C62" s="5" t="s">
        <v>127</v>
      </c>
      <c r="D62" s="5" t="s">
        <v>129</v>
      </c>
      <c r="E62" s="17">
        <v>10000</v>
      </c>
      <c r="F62" s="17">
        <f>SUMIFS(tbContratos[VALOR CONTRATO],tbContratos[OBRA],tbOrçamento[[#This Row],[OBRA]],tbContratos[SUBDISCIPLINA],tbOrçamento[[#This Row],[SUBDISCIPLINA]])</f>
        <v>0</v>
      </c>
      <c r="G62" s="17">
        <f>tbOrçamento[[#This Row],[ORÇAMENTO BASE ]]-tbOrçamento[[#This Row],[VALOR CONTRATADO]]</f>
        <v>10000</v>
      </c>
      <c r="H62" s="17">
        <f>SUMIFS(tbContratos[VALOR MEDIDO],tbContratos[OBRA],tbOrçamento[[#This Row],[OBRA]],tbContratos[SUBDISCIPLINA],tbOrçamento[[#This Row],[SUBDISCIPLINA]])</f>
        <v>0</v>
      </c>
      <c r="I62" s="17">
        <f>tbOrçamento[[#This Row],[VALOR CONTRATADO]]-tbOrçamento[[#This Row],[VALOR MEDIDO]]</f>
        <v>0</v>
      </c>
      <c r="J62" s="5" t="s">
        <v>40</v>
      </c>
    </row>
    <row r="63" spans="1:10" x14ac:dyDescent="0.3">
      <c r="A63" s="5" t="s">
        <v>57</v>
      </c>
      <c r="B63" s="9" t="str">
        <f>_xlfn.XLOOKUP(tbOrçamento[[#This Row],[OBRA]],tbObras[CÓDIGO],tbObras[NOME],"Não encontrado",0)</f>
        <v>Parque Sul</v>
      </c>
      <c r="C63" s="5" t="s">
        <v>127</v>
      </c>
      <c r="D63" s="5" t="s">
        <v>132</v>
      </c>
      <c r="E63" s="17"/>
      <c r="F63" s="17">
        <f>SUMIFS(tbContratos[VALOR CONTRATO],tbContratos[OBRA],tbOrçamento[[#This Row],[OBRA]],tbContratos[SUBDISCIPLINA],tbOrçamento[[#This Row],[SUBDISCIPLINA]])</f>
        <v>0</v>
      </c>
      <c r="G63" s="17">
        <f>tbOrçamento[[#This Row],[ORÇAMENTO BASE ]]-tbOrçamento[[#This Row],[VALOR CONTRATADO]]</f>
        <v>0</v>
      </c>
      <c r="H63" s="17">
        <f>SUMIFS(tbContratos[VALOR MEDIDO],tbContratos[OBRA],tbOrçamento[[#This Row],[OBRA]],tbContratos[SUBDISCIPLINA],tbOrçamento[[#This Row],[SUBDISCIPLINA]])</f>
        <v>0</v>
      </c>
      <c r="I63" s="17">
        <f>tbOrçamento[[#This Row],[VALOR CONTRATADO]]-tbOrçamento[[#This Row],[VALOR MEDIDO]]</f>
        <v>0</v>
      </c>
      <c r="J63" s="5" t="s">
        <v>40</v>
      </c>
    </row>
    <row r="64" spans="1:10" x14ac:dyDescent="0.3">
      <c r="A64" s="5" t="s">
        <v>57</v>
      </c>
      <c r="B64" s="9" t="str">
        <f>_xlfn.XLOOKUP(tbOrçamento[[#This Row],[OBRA]],tbObras[CÓDIGO],tbObras[NOME],"Não encontrado",0)</f>
        <v>Parque Sul</v>
      </c>
      <c r="C64" s="5" t="s">
        <v>92</v>
      </c>
      <c r="D64" s="5" t="s">
        <v>323</v>
      </c>
      <c r="E64" s="17">
        <v>10000</v>
      </c>
      <c r="F64" s="17">
        <f>SUMIFS(tbContratos[VALOR CONTRATO],tbContratos[OBRA],tbOrçamento[[#This Row],[OBRA]],tbContratos[SUBDISCIPLINA],tbOrçamento[[#This Row],[SUBDISCIPLINA]])</f>
        <v>12429.45</v>
      </c>
      <c r="G64" s="17">
        <f>tbOrçamento[[#This Row],[ORÇAMENTO BASE ]]-tbOrçamento[[#This Row],[VALOR CONTRATADO]]</f>
        <v>-2429.4500000000007</v>
      </c>
      <c r="H64" s="17">
        <f>SUMIFS(tbContratos[VALOR MEDIDO],tbContratos[OBRA],tbOrçamento[[#This Row],[OBRA]],tbContratos[SUBDISCIPLINA],tbOrçamento[[#This Row],[SUBDISCIPLINA]])</f>
        <v>3728.835</v>
      </c>
      <c r="I64" s="17">
        <f>tbOrçamento[[#This Row],[VALOR CONTRATADO]]-tbOrçamento[[#This Row],[VALOR MEDIDO]]</f>
        <v>8700.6150000000016</v>
      </c>
      <c r="J64" s="5" t="s">
        <v>302</v>
      </c>
    </row>
    <row r="65" spans="1:10" x14ac:dyDescent="0.3">
      <c r="A65" s="5" t="s">
        <v>57</v>
      </c>
      <c r="B65" s="9" t="str">
        <f>_xlfn.XLOOKUP(tbOrçamento[[#This Row],[OBRA]],tbObras[CÓDIGO],tbObras[NOME],"Não encontrado",0)</f>
        <v>Parque Sul</v>
      </c>
      <c r="C65" s="5" t="s">
        <v>92</v>
      </c>
      <c r="D65" s="5" t="s">
        <v>325</v>
      </c>
      <c r="E65" s="17">
        <v>30000</v>
      </c>
      <c r="F65" s="17">
        <f>SUMIFS(tbContratos[VALOR CONTRATO],tbContratos[OBRA],tbOrçamento[[#This Row],[OBRA]],tbContratos[SUBDISCIPLINA],tbOrçamento[[#This Row],[SUBDISCIPLINA]])</f>
        <v>0</v>
      </c>
      <c r="G65" s="17">
        <f>tbOrçamento[[#This Row],[ORÇAMENTO BASE ]]-tbOrçamento[[#This Row],[VALOR CONTRATADO]]</f>
        <v>30000</v>
      </c>
      <c r="H65" s="17">
        <f>SUMIFS(tbContratos[VALOR MEDIDO],tbContratos[OBRA],tbOrçamento[[#This Row],[OBRA]],tbContratos[SUBDISCIPLINA],tbOrçamento[[#This Row],[SUBDISCIPLINA]])</f>
        <v>0</v>
      </c>
      <c r="I65" s="17">
        <f>tbOrçamento[[#This Row],[VALOR CONTRATADO]]-tbOrçamento[[#This Row],[VALOR MEDIDO]]</f>
        <v>0</v>
      </c>
      <c r="J65" s="5" t="s">
        <v>40</v>
      </c>
    </row>
    <row r="66" spans="1:10" x14ac:dyDescent="0.3">
      <c r="A66" s="5" t="s">
        <v>57</v>
      </c>
      <c r="B66" s="9" t="str">
        <f>_xlfn.XLOOKUP(tbOrçamento[[#This Row],[OBRA]],tbObras[CÓDIGO],tbObras[NOME],"Não encontrado",0)</f>
        <v>Parque Sul</v>
      </c>
      <c r="C66" s="5" t="s">
        <v>335</v>
      </c>
      <c r="D66" s="5" t="s">
        <v>325</v>
      </c>
      <c r="E66" s="17">
        <v>20000</v>
      </c>
      <c r="F66" s="17">
        <f>SUMIFS(tbContratos[VALOR CONTRATO],tbContratos[OBRA],tbOrçamento[[#This Row],[OBRA]],tbContratos[SUBDISCIPLINA],tbOrçamento[[#This Row],[SUBDISCIPLINA]])</f>
        <v>0</v>
      </c>
      <c r="G66" s="17">
        <f>tbOrçamento[[#This Row],[ORÇAMENTO BASE ]]-tbOrçamento[[#This Row],[VALOR CONTRATADO]]</f>
        <v>20000</v>
      </c>
      <c r="H66" s="17">
        <f>SUMIFS(tbContratos[VALOR MEDIDO],tbContratos[OBRA],tbOrçamento[[#This Row],[OBRA]],tbContratos[SUBDISCIPLINA],tbOrçamento[[#This Row],[SUBDISCIPLINA]])</f>
        <v>0</v>
      </c>
      <c r="I66" s="17">
        <f>tbOrçamento[[#This Row],[VALOR CONTRATADO]]-tbOrçamento[[#This Row],[VALOR MEDIDO]]</f>
        <v>0</v>
      </c>
      <c r="J66" s="5" t="s">
        <v>40</v>
      </c>
    </row>
    <row r="67" spans="1:10" x14ac:dyDescent="0.3">
      <c r="A67" s="5" t="s">
        <v>57</v>
      </c>
      <c r="B67" s="9" t="str">
        <f>_xlfn.XLOOKUP(tbOrçamento[[#This Row],[OBRA]],tbObras[CÓDIGO],tbObras[NOME],"Não encontrado",0)</f>
        <v>Parque Sul</v>
      </c>
      <c r="C67" s="5" t="s">
        <v>25</v>
      </c>
      <c r="D67" s="5" t="s">
        <v>25</v>
      </c>
      <c r="E67" s="17">
        <v>742740.9</v>
      </c>
      <c r="F67" s="17">
        <f>SUMIFS(tbContratos[VALOR CONTRATO],tbContratos[OBRA],tbOrçamento[[#This Row],[OBRA]],tbContratos[SUBDISCIPLINA],tbOrçamento[[#This Row],[SUBDISCIPLINA]])</f>
        <v>742740.9</v>
      </c>
      <c r="G67" s="17">
        <f>tbOrçamento[[#This Row],[ORÇAMENTO BASE ]]-tbOrçamento[[#This Row],[VALOR CONTRATADO]]</f>
        <v>0</v>
      </c>
      <c r="H67" s="17">
        <f>SUMIFS(tbContratos[VALOR MEDIDO],tbContratos[OBRA],tbOrçamento[[#This Row],[OBRA]],tbContratos[SUBDISCIPLINA],tbOrçamento[[#This Row],[SUBDISCIPLINA]])</f>
        <v>7125</v>
      </c>
      <c r="I67" s="17">
        <f>tbOrçamento[[#This Row],[VALOR CONTRATADO]]-tbOrçamento[[#This Row],[VALOR MEDIDO]]</f>
        <v>735615.9</v>
      </c>
      <c r="J67" s="5" t="s">
        <v>40</v>
      </c>
    </row>
    <row r="68" spans="1:10" x14ac:dyDescent="0.3">
      <c r="A68" s="5" t="s">
        <v>59</v>
      </c>
      <c r="B68" s="9" t="str">
        <f>_xlfn.XLOOKUP(tbOrçamento[[#This Row],[OBRA]],tbObras[CÓDIGO],tbObras[NOME],"Não encontrado",0)</f>
        <v>UNA</v>
      </c>
      <c r="C68" s="5" t="s">
        <v>23</v>
      </c>
      <c r="D68" s="5" t="s">
        <v>23</v>
      </c>
      <c r="E68" s="17">
        <v>20000</v>
      </c>
      <c r="F68" s="17">
        <f>SUMIFS(tbContratos[VALOR CONTRATO],tbContratos[OBRA],tbOrçamento[[#This Row],[OBRA]],tbContratos[SUBDISCIPLINA],tbOrçamento[[#This Row],[SUBDISCIPLINA]])</f>
        <v>0</v>
      </c>
      <c r="G68" s="17">
        <f>tbOrçamento[[#This Row],[ORÇAMENTO BASE ]]-tbOrçamento[[#This Row],[VALOR CONTRATADO]]</f>
        <v>20000</v>
      </c>
      <c r="H68" s="17">
        <f>SUMIFS(tbContratos[VALOR MEDIDO],tbContratos[OBRA],tbOrçamento[[#This Row],[OBRA]],tbContratos[SUBDISCIPLINA],tbOrçamento[[#This Row],[SUBDISCIPLINA]])</f>
        <v>0</v>
      </c>
      <c r="I68" s="17">
        <f>tbOrçamento[[#This Row],[VALOR CONTRATADO]]-tbOrçamento[[#This Row],[VALOR MEDIDO]]</f>
        <v>0</v>
      </c>
      <c r="J68" s="5" t="s">
        <v>302</v>
      </c>
    </row>
    <row r="69" spans="1:10" x14ac:dyDescent="0.3">
      <c r="A69" s="5" t="s">
        <v>59</v>
      </c>
      <c r="B69" s="9" t="str">
        <f>_xlfn.XLOOKUP(tbOrçamento[[#This Row],[OBRA]],tbObras[CÓDIGO],tbObras[NOME],"Não encontrado",0)</f>
        <v>UNA</v>
      </c>
      <c r="C69" s="5" t="s">
        <v>29</v>
      </c>
      <c r="D69" s="5" t="s">
        <v>29</v>
      </c>
      <c r="E69" s="17">
        <v>5000</v>
      </c>
      <c r="F69" s="17">
        <f>SUMIFS(tbContratos[VALOR CONTRATO],tbContratos[OBRA],tbOrçamento[[#This Row],[OBRA]],tbContratos[SUBDISCIPLINA],tbOrçamento[[#This Row],[SUBDISCIPLINA]])</f>
        <v>1100</v>
      </c>
      <c r="G69" s="17">
        <f>tbOrçamento[[#This Row],[ORÇAMENTO BASE ]]-tbOrçamento[[#This Row],[VALOR CONTRATADO]]</f>
        <v>3900</v>
      </c>
      <c r="H69" s="17">
        <f>SUMIFS(tbContratos[VALOR MEDIDO],tbContratos[OBRA],tbOrçamento[[#This Row],[OBRA]],tbContratos[SUBDISCIPLINA],tbOrçamento[[#This Row],[SUBDISCIPLINA]])</f>
        <v>1100</v>
      </c>
      <c r="I69" s="17">
        <f>tbOrçamento[[#This Row],[VALOR CONTRATADO]]-tbOrçamento[[#This Row],[VALOR MEDIDO]]</f>
        <v>0</v>
      </c>
      <c r="J69" s="5" t="s">
        <v>302</v>
      </c>
    </row>
    <row r="70" spans="1:10" x14ac:dyDescent="0.3">
      <c r="A70" s="5" t="s">
        <v>59</v>
      </c>
      <c r="B70" s="9" t="str">
        <f>_xlfn.XLOOKUP(tbOrçamento[[#This Row],[OBRA]],tbObras[CÓDIGO],tbObras[NOME],"Não encontrado",0)</f>
        <v>UNA</v>
      </c>
      <c r="C70" s="5" t="s">
        <v>103</v>
      </c>
      <c r="D70" s="5" t="s">
        <v>113</v>
      </c>
      <c r="E70" s="17">
        <v>40000</v>
      </c>
      <c r="F70" s="17">
        <f>SUMIFS(tbContratos[VALOR CONTRATO],tbContratos[OBRA],tbOrçamento[[#This Row],[OBRA]],tbContratos[SUBDISCIPLINA],tbOrçamento[[#This Row],[SUBDISCIPLINA]])</f>
        <v>40000</v>
      </c>
      <c r="G70" s="17">
        <f>tbOrçamento[[#This Row],[ORÇAMENTO BASE ]]-tbOrçamento[[#This Row],[VALOR CONTRATADO]]</f>
        <v>0</v>
      </c>
      <c r="H70" s="17">
        <f>SUMIFS(tbContratos[VALOR MEDIDO],tbContratos[OBRA],tbOrçamento[[#This Row],[OBRA]],tbContratos[SUBDISCIPLINA],tbOrçamento[[#This Row],[SUBDISCIPLINA]])</f>
        <v>20000</v>
      </c>
      <c r="I70" s="17">
        <f>tbOrçamento[[#This Row],[VALOR CONTRATADO]]-tbOrçamento[[#This Row],[VALOR MEDIDO]]</f>
        <v>20000</v>
      </c>
      <c r="J70" s="5" t="s">
        <v>302</v>
      </c>
    </row>
    <row r="71" spans="1:10" x14ac:dyDescent="0.3">
      <c r="A71" s="5" t="s">
        <v>59</v>
      </c>
      <c r="B71" s="9" t="str">
        <f>_xlfn.XLOOKUP(tbOrçamento[[#This Row],[OBRA]],tbObras[CÓDIGO],tbObras[NOME],"Não encontrado",0)</f>
        <v>UNA</v>
      </c>
      <c r="C71" s="5" t="s">
        <v>91</v>
      </c>
      <c r="D71" s="5" t="s">
        <v>115</v>
      </c>
      <c r="E71" s="17">
        <v>15000</v>
      </c>
      <c r="F71" s="17">
        <f>SUMIFS(tbContratos[VALOR CONTRATO],tbContratos[OBRA],tbOrçamento[[#This Row],[OBRA]],tbContratos[SUBDISCIPLINA],tbOrçamento[[#This Row],[SUBDISCIPLINA]])</f>
        <v>13000</v>
      </c>
      <c r="G71" s="17">
        <f>tbOrçamento[[#This Row],[ORÇAMENTO BASE ]]-tbOrçamento[[#This Row],[VALOR CONTRATADO]]</f>
        <v>2000</v>
      </c>
      <c r="H71" s="17">
        <f>SUMIFS(tbContratos[VALOR MEDIDO],tbContratos[OBRA],tbOrçamento[[#This Row],[OBRA]],tbContratos[SUBDISCIPLINA],tbOrçamento[[#This Row],[SUBDISCIPLINA]])</f>
        <v>6500</v>
      </c>
      <c r="I71" s="17">
        <f>tbOrçamento[[#This Row],[VALOR CONTRATADO]]-tbOrçamento[[#This Row],[VALOR MEDIDO]]</f>
        <v>6500</v>
      </c>
      <c r="J71" s="5" t="s">
        <v>302</v>
      </c>
    </row>
    <row r="72" spans="1:10" x14ac:dyDescent="0.3">
      <c r="A72" s="5" t="s">
        <v>59</v>
      </c>
      <c r="B72" s="9" t="str">
        <f>_xlfn.XLOOKUP(tbOrçamento[[#This Row],[OBRA]],tbObras[CÓDIGO],tbObras[NOME],"Não encontrado",0)</f>
        <v>UNA</v>
      </c>
      <c r="C72" s="5" t="s">
        <v>33</v>
      </c>
      <c r="D72" s="5" t="s">
        <v>119</v>
      </c>
      <c r="E72" s="17">
        <v>10000</v>
      </c>
      <c r="F72" s="17">
        <f>SUMIFS(tbContratos[VALOR CONTRATO],tbContratos[OBRA],tbOrçamento[[#This Row],[OBRA]],tbContratos[SUBDISCIPLINA],tbOrçamento[[#This Row],[SUBDISCIPLINA]])</f>
        <v>10000</v>
      </c>
      <c r="G72" s="17">
        <f>tbOrçamento[[#This Row],[ORÇAMENTO BASE ]]-tbOrçamento[[#This Row],[VALOR CONTRATADO]]</f>
        <v>0</v>
      </c>
      <c r="H72" s="17">
        <f>SUMIFS(tbContratos[VALOR MEDIDO],tbContratos[OBRA],tbOrçamento[[#This Row],[OBRA]],tbContratos[SUBDISCIPLINA],tbOrçamento[[#This Row],[SUBDISCIPLINA]])</f>
        <v>0</v>
      </c>
      <c r="I72" s="17">
        <f>tbOrçamento[[#This Row],[VALOR CONTRATADO]]-tbOrçamento[[#This Row],[VALOR MEDIDO]]</f>
        <v>10000</v>
      </c>
      <c r="J72" s="5" t="s">
        <v>302</v>
      </c>
    </row>
    <row r="73" spans="1:10" x14ac:dyDescent="0.3">
      <c r="A73" s="5" t="s">
        <v>59</v>
      </c>
      <c r="B73" s="9" t="str">
        <f>_xlfn.XLOOKUP(tbOrçamento[[#This Row],[OBRA]],tbObras[CÓDIGO],tbObras[NOME],"Não encontrado",0)</f>
        <v>UNA</v>
      </c>
      <c r="C73" s="5" t="s">
        <v>33</v>
      </c>
      <c r="D73" s="5" t="s">
        <v>342</v>
      </c>
      <c r="E73" s="17">
        <v>1500</v>
      </c>
      <c r="F73" s="17">
        <f>SUMIFS(tbContratos[VALOR CONTRATO],tbContratos[OBRA],tbOrçamento[[#This Row],[OBRA]],tbContratos[SUBDISCIPLINA],tbOrçamento[[#This Row],[SUBDISCIPLINA]])</f>
        <v>16500</v>
      </c>
      <c r="G73" s="17">
        <f>tbOrçamento[[#This Row],[ORÇAMENTO BASE ]]-tbOrçamento[[#This Row],[VALOR CONTRATADO]]</f>
        <v>-15000</v>
      </c>
      <c r="H73" s="17">
        <f>SUMIFS(tbContratos[VALOR MEDIDO],tbContratos[OBRA],tbOrçamento[[#This Row],[OBRA]],tbContratos[SUBDISCIPLINA],tbOrçamento[[#This Row],[SUBDISCIPLINA]])</f>
        <v>0</v>
      </c>
      <c r="I73" s="17">
        <f>tbOrçamento[[#This Row],[VALOR CONTRATADO]]-tbOrçamento[[#This Row],[VALOR MEDIDO]]</f>
        <v>16500</v>
      </c>
      <c r="J73" s="5" t="s">
        <v>40</v>
      </c>
    </row>
    <row r="74" spans="1:10" x14ac:dyDescent="0.3">
      <c r="A74" s="5" t="s">
        <v>59</v>
      </c>
      <c r="B74" s="9" t="str">
        <f>_xlfn.XLOOKUP(tbOrçamento[[#This Row],[OBRA]],tbObras[CÓDIGO],tbObras[NOME],"Não encontrado",0)</f>
        <v>UNA</v>
      </c>
      <c r="C74" s="5" t="s">
        <v>33</v>
      </c>
      <c r="D74" s="5" t="s">
        <v>120</v>
      </c>
      <c r="E74" s="17">
        <v>1500</v>
      </c>
      <c r="F74" s="17">
        <f>SUMIFS(tbContratos[VALOR CONTRATO],tbContratos[OBRA],tbOrçamento[[#This Row],[OBRA]],tbContratos[SUBDISCIPLINA],tbOrçamento[[#This Row],[SUBDISCIPLINA]])</f>
        <v>0</v>
      </c>
      <c r="G74" s="17">
        <f>tbOrçamento[[#This Row],[ORÇAMENTO BASE ]]-tbOrçamento[[#This Row],[VALOR CONTRATADO]]</f>
        <v>1500</v>
      </c>
      <c r="H74" s="17">
        <f>SUMIFS(tbContratos[VALOR MEDIDO],tbContratos[OBRA],tbOrçamento[[#This Row],[OBRA]],tbContratos[SUBDISCIPLINA],tbOrçamento[[#This Row],[SUBDISCIPLINA]])</f>
        <v>0</v>
      </c>
      <c r="I74" s="17">
        <f>tbOrçamento[[#This Row],[VALOR CONTRATADO]]-tbOrçamento[[#This Row],[VALOR MEDIDO]]</f>
        <v>0</v>
      </c>
      <c r="J74" s="5" t="s">
        <v>40</v>
      </c>
    </row>
    <row r="75" spans="1:10" x14ac:dyDescent="0.3">
      <c r="A75" s="5" t="s">
        <v>59</v>
      </c>
      <c r="B75" s="9" t="str">
        <f>_xlfn.XLOOKUP(tbOrçamento[[#This Row],[OBRA]],tbObras[CÓDIGO],tbObras[NOME],"Não encontrado",0)</f>
        <v>UNA</v>
      </c>
      <c r="C75" s="5" t="s">
        <v>33</v>
      </c>
      <c r="D75" s="5" t="s">
        <v>121</v>
      </c>
      <c r="E75" s="17">
        <v>1500</v>
      </c>
      <c r="F75" s="17">
        <f>SUMIFS(tbContratos[VALOR CONTRATO],tbContratos[OBRA],tbOrçamento[[#This Row],[OBRA]],tbContratos[SUBDISCIPLINA],tbOrçamento[[#This Row],[SUBDISCIPLINA]])</f>
        <v>0</v>
      </c>
      <c r="G75" s="17">
        <f>tbOrçamento[[#This Row],[ORÇAMENTO BASE ]]-tbOrçamento[[#This Row],[VALOR CONTRATADO]]</f>
        <v>1500</v>
      </c>
      <c r="H75" s="17">
        <f>SUMIFS(tbContratos[VALOR MEDIDO],tbContratos[OBRA],tbOrçamento[[#This Row],[OBRA]],tbContratos[SUBDISCIPLINA],tbOrçamento[[#This Row],[SUBDISCIPLINA]])</f>
        <v>0</v>
      </c>
      <c r="I75" s="17">
        <f>tbOrçamento[[#This Row],[VALOR CONTRATADO]]-tbOrçamento[[#This Row],[VALOR MEDIDO]]</f>
        <v>0</v>
      </c>
      <c r="J75" s="5" t="s">
        <v>40</v>
      </c>
    </row>
    <row r="76" spans="1:10" x14ac:dyDescent="0.3">
      <c r="A76" s="5" t="s">
        <v>59</v>
      </c>
      <c r="B76" s="9" t="str">
        <f>_xlfn.XLOOKUP(tbOrçamento[[#This Row],[OBRA]],tbObras[CÓDIGO],tbObras[NOME],"Não encontrado",0)</f>
        <v>UNA</v>
      </c>
      <c r="C76" s="5" t="s">
        <v>35</v>
      </c>
      <c r="D76" s="5" t="s">
        <v>35</v>
      </c>
      <c r="E76" s="17">
        <v>65450</v>
      </c>
      <c r="F76" s="17">
        <f>SUMIFS(tbContratos[VALOR CONTRATO],tbContratos[OBRA],tbOrçamento[[#This Row],[OBRA]],tbContratos[SUBDISCIPLINA],tbOrçamento[[#This Row],[SUBDISCIPLINA]])</f>
        <v>151350</v>
      </c>
      <c r="G76" s="17">
        <f>tbOrçamento[[#This Row],[ORÇAMENTO BASE ]]-tbOrçamento[[#This Row],[VALOR CONTRATADO]]</f>
        <v>-85900</v>
      </c>
      <c r="H76" s="17">
        <f>SUMIFS(tbContratos[VALOR MEDIDO],tbContratos[OBRA],tbOrçamento[[#This Row],[OBRA]],tbContratos[SUBDISCIPLINA],tbOrçamento[[#This Row],[SUBDISCIPLINA]])</f>
        <v>58950</v>
      </c>
      <c r="I76" s="17">
        <f>tbOrçamento[[#This Row],[VALOR CONTRATADO]]-tbOrçamento[[#This Row],[VALOR MEDIDO]]</f>
        <v>92400</v>
      </c>
      <c r="J76" s="5" t="s">
        <v>302</v>
      </c>
    </row>
    <row r="77" spans="1:10" x14ac:dyDescent="0.3">
      <c r="A77" s="5" t="s">
        <v>59</v>
      </c>
      <c r="B77" s="9" t="str">
        <f>_xlfn.XLOOKUP(tbOrçamento[[#This Row],[OBRA]],tbObras[CÓDIGO],tbObras[NOME],"Não encontrado",0)</f>
        <v>UNA</v>
      </c>
      <c r="C77" s="5" t="s">
        <v>21</v>
      </c>
      <c r="D77" s="5" t="s">
        <v>21</v>
      </c>
      <c r="E77" s="17">
        <v>14000</v>
      </c>
      <c r="F77" s="17">
        <f>SUMIFS(tbContratos[VALOR CONTRATO],tbContratos[OBRA],tbOrçamento[[#This Row],[OBRA]],tbContratos[SUBDISCIPLINA],tbOrçamento[[#This Row],[SUBDISCIPLINA]])</f>
        <v>29000</v>
      </c>
      <c r="G77" s="17">
        <f>tbOrçamento[[#This Row],[ORÇAMENTO BASE ]]-tbOrçamento[[#This Row],[VALOR CONTRATADO]]</f>
        <v>-15000</v>
      </c>
      <c r="H77" s="17">
        <f>SUMIFS(tbContratos[VALOR MEDIDO],tbContratos[OBRA],tbOrçamento[[#This Row],[OBRA]],tbContratos[SUBDISCIPLINA],tbOrçamento[[#This Row],[SUBDISCIPLINA]])</f>
        <v>9404.1666666666661</v>
      </c>
      <c r="I77" s="17">
        <f>tbOrçamento[[#This Row],[VALOR CONTRATADO]]-tbOrçamento[[#This Row],[VALOR MEDIDO]]</f>
        <v>19595.833333333336</v>
      </c>
      <c r="J77" s="5" t="s">
        <v>302</v>
      </c>
    </row>
    <row r="78" spans="1:10" x14ac:dyDescent="0.3">
      <c r="A78" s="5" t="s">
        <v>59</v>
      </c>
      <c r="B78" s="9" t="str">
        <f>_xlfn.XLOOKUP(tbOrçamento[[#This Row],[OBRA]],tbObras[CÓDIGO],tbObras[NOME],"Não encontrado",0)</f>
        <v>UNA</v>
      </c>
      <c r="C78" s="5" t="s">
        <v>41</v>
      </c>
      <c r="D78" s="5" t="s">
        <v>41</v>
      </c>
      <c r="E78" s="17">
        <v>5000</v>
      </c>
      <c r="F78" s="17">
        <f>SUMIFS(tbContratos[VALOR CONTRATO],tbContratos[OBRA],tbOrçamento[[#This Row],[OBRA]],tbContratos[SUBDISCIPLINA],tbOrçamento[[#This Row],[SUBDISCIPLINA]])</f>
        <v>0</v>
      </c>
      <c r="G78" s="17">
        <f>tbOrçamento[[#This Row],[ORÇAMENTO BASE ]]-tbOrçamento[[#This Row],[VALOR CONTRATADO]]</f>
        <v>5000</v>
      </c>
      <c r="H78" s="17">
        <f>SUMIFS(tbContratos[VALOR MEDIDO],tbContratos[OBRA],tbOrçamento[[#This Row],[OBRA]],tbContratos[SUBDISCIPLINA],tbOrçamento[[#This Row],[SUBDISCIPLINA]])</f>
        <v>0</v>
      </c>
      <c r="I78" s="17">
        <f>tbOrçamento[[#This Row],[VALOR CONTRATADO]]-tbOrçamento[[#This Row],[VALOR MEDIDO]]</f>
        <v>0</v>
      </c>
      <c r="J78" s="5" t="s">
        <v>302</v>
      </c>
    </row>
    <row r="79" spans="1:10" x14ac:dyDescent="0.3">
      <c r="A79" s="5" t="s">
        <v>59</v>
      </c>
      <c r="B79" s="9" t="str">
        <f>_xlfn.XLOOKUP(tbOrçamento[[#This Row],[OBRA]],tbObras[CÓDIGO],tbObras[NOME],"Não encontrado",0)</f>
        <v>UNA</v>
      </c>
      <c r="C79" s="5" t="s">
        <v>42</v>
      </c>
      <c r="D79" s="5" t="s">
        <v>42</v>
      </c>
      <c r="E79" s="17">
        <v>15000</v>
      </c>
      <c r="F79" s="17">
        <f>SUMIFS(tbContratos[VALOR CONTRATO],tbContratos[OBRA],tbOrçamento[[#This Row],[OBRA]],tbContratos[SUBDISCIPLINA],tbOrçamento[[#This Row],[SUBDISCIPLINA]])</f>
        <v>0</v>
      </c>
      <c r="G79" s="17">
        <f>tbOrçamento[[#This Row],[ORÇAMENTO BASE ]]-tbOrçamento[[#This Row],[VALOR CONTRATADO]]</f>
        <v>15000</v>
      </c>
      <c r="H79" s="17">
        <f>SUMIFS(tbContratos[VALOR MEDIDO],tbContratos[OBRA],tbOrçamento[[#This Row],[OBRA]],tbContratos[SUBDISCIPLINA],tbOrçamento[[#This Row],[SUBDISCIPLINA]])</f>
        <v>0</v>
      </c>
      <c r="I79" s="17">
        <f>tbOrçamento[[#This Row],[VALOR CONTRATADO]]-tbOrçamento[[#This Row],[VALOR MEDIDO]]</f>
        <v>0</v>
      </c>
      <c r="J79" s="5" t="s">
        <v>40</v>
      </c>
    </row>
    <row r="80" spans="1:10" x14ac:dyDescent="0.3">
      <c r="A80" s="5" t="s">
        <v>59</v>
      </c>
      <c r="B80" s="9" t="str">
        <f>_xlfn.XLOOKUP(tbOrçamento[[#This Row],[OBRA]],tbObras[CÓDIGO],tbObras[NOME],"Não encontrado",0)</f>
        <v>UNA</v>
      </c>
      <c r="C80" s="5" t="s">
        <v>125</v>
      </c>
      <c r="D80" s="5" t="s">
        <v>125</v>
      </c>
      <c r="E80" s="17">
        <v>15000</v>
      </c>
      <c r="F80" s="17">
        <f>SUMIFS(tbContratos[VALOR CONTRATO],tbContratos[OBRA],tbOrçamento[[#This Row],[OBRA]],tbContratos[SUBDISCIPLINA],tbOrçamento[[#This Row],[SUBDISCIPLINA]])</f>
        <v>0</v>
      </c>
      <c r="G80" s="17">
        <f>tbOrçamento[[#This Row],[ORÇAMENTO BASE ]]-tbOrçamento[[#This Row],[VALOR CONTRATADO]]</f>
        <v>15000</v>
      </c>
      <c r="H80" s="17">
        <f>SUMIFS(tbContratos[VALOR MEDIDO],tbContratos[OBRA],tbOrçamento[[#This Row],[OBRA]],tbContratos[SUBDISCIPLINA],tbOrçamento[[#This Row],[SUBDISCIPLINA]])</f>
        <v>0</v>
      </c>
      <c r="I80" s="17">
        <f>tbOrçamento[[#This Row],[VALOR CONTRATADO]]-tbOrçamento[[#This Row],[VALOR MEDIDO]]</f>
        <v>0</v>
      </c>
      <c r="J80" s="5" t="s">
        <v>40</v>
      </c>
    </row>
    <row r="81" spans="1:10" x14ac:dyDescent="0.3">
      <c r="A81" s="5" t="s">
        <v>59</v>
      </c>
      <c r="B81" s="9" t="str">
        <f>_xlfn.XLOOKUP(tbOrçamento[[#This Row],[OBRA]],tbObras[CÓDIGO],tbObras[NOME],"Não encontrado",0)</f>
        <v>UNA</v>
      </c>
      <c r="C81" s="5" t="s">
        <v>126</v>
      </c>
      <c r="D81" s="5" t="s">
        <v>126</v>
      </c>
      <c r="E81" s="17">
        <v>7500</v>
      </c>
      <c r="F81" s="17">
        <f>SUMIFS(tbContratos[VALOR CONTRATO],tbContratos[OBRA],tbOrçamento[[#This Row],[OBRA]],tbContratos[SUBDISCIPLINA],tbOrçamento[[#This Row],[SUBDISCIPLINA]])</f>
        <v>0</v>
      </c>
      <c r="G81" s="17">
        <f>tbOrçamento[[#This Row],[ORÇAMENTO BASE ]]-tbOrçamento[[#This Row],[VALOR CONTRATADO]]</f>
        <v>7500</v>
      </c>
      <c r="H81" s="17">
        <f>SUMIFS(tbContratos[VALOR MEDIDO],tbContratos[OBRA],tbOrçamento[[#This Row],[OBRA]],tbContratos[SUBDISCIPLINA],tbOrçamento[[#This Row],[SUBDISCIPLINA]])</f>
        <v>0</v>
      </c>
      <c r="I81" s="17">
        <f>tbOrçamento[[#This Row],[VALOR CONTRATADO]]-tbOrçamento[[#This Row],[VALOR MEDIDO]]</f>
        <v>0</v>
      </c>
      <c r="J81" s="5" t="s">
        <v>40</v>
      </c>
    </row>
    <row r="82" spans="1:10" x14ac:dyDescent="0.3">
      <c r="A82" s="5" t="s">
        <v>59</v>
      </c>
      <c r="B82" s="9" t="str">
        <f>_xlfn.XLOOKUP(tbOrçamento[[#This Row],[OBRA]],tbObras[CÓDIGO],tbObras[NOME],"Não encontrado",0)</f>
        <v>UNA</v>
      </c>
      <c r="C82" s="5" t="s">
        <v>39</v>
      </c>
      <c r="D82" s="5" t="s">
        <v>39</v>
      </c>
      <c r="E82" s="17">
        <v>3000</v>
      </c>
      <c r="F82" s="17">
        <f>SUMIFS(tbContratos[VALOR CONTRATO],tbContratos[OBRA],tbOrçamento[[#This Row],[OBRA]],tbContratos[SUBDISCIPLINA],tbOrçamento[[#This Row],[SUBDISCIPLINA]])</f>
        <v>0</v>
      </c>
      <c r="G82" s="17">
        <f>tbOrçamento[[#This Row],[ORÇAMENTO BASE ]]-tbOrçamento[[#This Row],[VALOR CONTRATADO]]</f>
        <v>3000</v>
      </c>
      <c r="H82" s="17">
        <f>SUMIFS(tbContratos[VALOR MEDIDO],tbContratos[OBRA],tbOrçamento[[#This Row],[OBRA]],tbContratos[SUBDISCIPLINA],tbOrçamento[[#This Row],[SUBDISCIPLINA]])</f>
        <v>0</v>
      </c>
      <c r="I82" s="17">
        <f>tbOrçamento[[#This Row],[VALOR CONTRATADO]]-tbOrçamento[[#This Row],[VALOR MEDIDO]]</f>
        <v>0</v>
      </c>
      <c r="J82" s="5" t="s">
        <v>40</v>
      </c>
    </row>
    <row r="83" spans="1:10" x14ac:dyDescent="0.3">
      <c r="A83" s="5" t="s">
        <v>59</v>
      </c>
      <c r="B83" s="9" t="str">
        <f>_xlfn.XLOOKUP(tbOrçamento[[#This Row],[OBRA]],tbObras[CÓDIGO],tbObras[NOME],"Não encontrado",0)</f>
        <v>UNA</v>
      </c>
      <c r="C83" s="5" t="s">
        <v>127</v>
      </c>
      <c r="D83" s="5" t="s">
        <v>128</v>
      </c>
      <c r="E83" s="17">
        <v>5000</v>
      </c>
      <c r="F83" s="17">
        <f>SUMIFS(tbContratos[VALOR CONTRATO],tbContratos[OBRA],tbOrçamento[[#This Row],[OBRA]],tbContratos[SUBDISCIPLINA],tbOrçamento[[#This Row],[SUBDISCIPLINA]])</f>
        <v>0</v>
      </c>
      <c r="G83" s="17">
        <f>tbOrçamento[[#This Row],[ORÇAMENTO BASE ]]-tbOrçamento[[#This Row],[VALOR CONTRATADO]]</f>
        <v>5000</v>
      </c>
      <c r="H83" s="17">
        <f>SUMIFS(tbContratos[VALOR MEDIDO],tbContratos[OBRA],tbOrçamento[[#This Row],[OBRA]],tbContratos[SUBDISCIPLINA],tbOrçamento[[#This Row],[SUBDISCIPLINA]])</f>
        <v>0</v>
      </c>
      <c r="I83" s="17">
        <f>tbOrçamento[[#This Row],[VALOR CONTRATADO]]-tbOrçamento[[#This Row],[VALOR MEDIDO]]</f>
        <v>0</v>
      </c>
      <c r="J83" s="5" t="s">
        <v>40</v>
      </c>
    </row>
    <row r="84" spans="1:10" x14ac:dyDescent="0.3">
      <c r="A84" s="5" t="s">
        <v>59</v>
      </c>
      <c r="B84" s="9" t="str">
        <f>_xlfn.XLOOKUP(tbOrçamento[[#This Row],[OBRA]],tbObras[CÓDIGO],tbObras[NOME],"Não encontrado",0)</f>
        <v>UNA</v>
      </c>
      <c r="C84" s="5" t="s">
        <v>127</v>
      </c>
      <c r="D84" s="5" t="s">
        <v>129</v>
      </c>
      <c r="E84" s="17">
        <v>10000</v>
      </c>
      <c r="F84" s="17">
        <f>SUMIFS(tbContratos[VALOR CONTRATO],tbContratos[OBRA],tbOrçamento[[#This Row],[OBRA]],tbContratos[SUBDISCIPLINA],tbOrçamento[[#This Row],[SUBDISCIPLINA]])</f>
        <v>0</v>
      </c>
      <c r="G84" s="17">
        <f>tbOrçamento[[#This Row],[ORÇAMENTO BASE ]]-tbOrçamento[[#This Row],[VALOR CONTRATADO]]</f>
        <v>10000</v>
      </c>
      <c r="H84" s="17">
        <f>SUMIFS(tbContratos[VALOR MEDIDO],tbContratos[OBRA],tbOrçamento[[#This Row],[OBRA]],tbContratos[SUBDISCIPLINA],tbOrçamento[[#This Row],[SUBDISCIPLINA]])</f>
        <v>0</v>
      </c>
      <c r="I84" s="17">
        <f>tbOrçamento[[#This Row],[VALOR CONTRATADO]]-tbOrçamento[[#This Row],[VALOR MEDIDO]]</f>
        <v>0</v>
      </c>
      <c r="J84" s="5" t="s">
        <v>40</v>
      </c>
    </row>
    <row r="85" spans="1:10" x14ac:dyDescent="0.3">
      <c r="A85" s="5" t="s">
        <v>59</v>
      </c>
      <c r="B85" s="9" t="str">
        <f>_xlfn.XLOOKUP(tbOrçamento[[#This Row],[OBRA]],tbObras[CÓDIGO],tbObras[NOME],"Não encontrado",0)</f>
        <v>UNA</v>
      </c>
      <c r="C85" s="5" t="s">
        <v>127</v>
      </c>
      <c r="D85" s="5" t="s">
        <v>132</v>
      </c>
      <c r="E85" s="17"/>
      <c r="F85" s="17">
        <f>SUMIFS(tbContratos[VALOR CONTRATO],tbContratos[OBRA],tbOrçamento[[#This Row],[OBRA]],tbContratos[SUBDISCIPLINA],tbOrçamento[[#This Row],[SUBDISCIPLINA]])</f>
        <v>0</v>
      </c>
      <c r="G85" s="17">
        <f>tbOrçamento[[#This Row],[ORÇAMENTO BASE ]]-tbOrçamento[[#This Row],[VALOR CONTRATADO]]</f>
        <v>0</v>
      </c>
      <c r="H85" s="17">
        <f>SUMIFS(tbContratos[VALOR MEDIDO],tbContratos[OBRA],tbOrçamento[[#This Row],[OBRA]],tbContratos[SUBDISCIPLINA],tbOrçamento[[#This Row],[SUBDISCIPLINA]])</f>
        <v>0</v>
      </c>
      <c r="I85" s="17">
        <f>tbOrçamento[[#This Row],[VALOR CONTRATADO]]-tbOrçamento[[#This Row],[VALOR MEDIDO]]</f>
        <v>0</v>
      </c>
      <c r="J85" s="5" t="s">
        <v>40</v>
      </c>
    </row>
    <row r="86" spans="1:10" x14ac:dyDescent="0.3">
      <c r="A86" s="5" t="s">
        <v>59</v>
      </c>
      <c r="B86" s="9" t="str">
        <f>_xlfn.XLOOKUP(tbOrçamento[[#This Row],[OBRA]],tbObras[CÓDIGO],tbObras[NOME],"Não encontrado",0)</f>
        <v>UNA</v>
      </c>
      <c r="C86" s="5" t="s">
        <v>92</v>
      </c>
      <c r="D86" s="5" t="s">
        <v>323</v>
      </c>
      <c r="E86" s="17">
        <v>10000</v>
      </c>
      <c r="F86" s="17">
        <f>SUMIFS(tbContratos[VALOR CONTRATO],tbContratos[OBRA],tbOrçamento[[#This Row],[OBRA]],tbContratos[SUBDISCIPLINA],tbOrçamento[[#This Row],[SUBDISCIPLINA]])</f>
        <v>8255.1400000000012</v>
      </c>
      <c r="G86" s="17">
        <f>tbOrçamento[[#This Row],[ORÇAMENTO BASE ]]-tbOrçamento[[#This Row],[VALOR CONTRATADO]]</f>
        <v>1744.8599999999988</v>
      </c>
      <c r="H86" s="17">
        <f>SUMIFS(tbContratos[VALOR MEDIDO],tbContratos[OBRA],tbOrçamento[[#This Row],[OBRA]],tbContratos[SUBDISCIPLINA],tbOrçamento[[#This Row],[SUBDISCIPLINA]])</f>
        <v>2476.5420000000004</v>
      </c>
      <c r="I86" s="17">
        <f>tbOrçamento[[#This Row],[VALOR CONTRATADO]]-tbOrçamento[[#This Row],[VALOR MEDIDO]]</f>
        <v>5778.5980000000009</v>
      </c>
      <c r="J86" s="5" t="s">
        <v>302</v>
      </c>
    </row>
    <row r="87" spans="1:10" x14ac:dyDescent="0.3">
      <c r="A87" s="5" t="s">
        <v>59</v>
      </c>
      <c r="B87" s="9" t="str">
        <f>_xlfn.XLOOKUP(tbOrçamento[[#This Row],[OBRA]],tbObras[CÓDIGO],tbObras[NOME],"Não encontrado",0)</f>
        <v>UNA</v>
      </c>
      <c r="C87" s="5" t="s">
        <v>92</v>
      </c>
      <c r="D87" s="5" t="s">
        <v>325</v>
      </c>
      <c r="E87" s="17">
        <v>15000</v>
      </c>
      <c r="F87" s="17">
        <f>SUMIFS(tbContratos[VALOR CONTRATO],tbContratos[OBRA],tbOrçamento[[#This Row],[OBRA]],tbContratos[SUBDISCIPLINA],tbOrçamento[[#This Row],[SUBDISCIPLINA]])</f>
        <v>0</v>
      </c>
      <c r="G87" s="17">
        <f>tbOrçamento[[#This Row],[ORÇAMENTO BASE ]]-tbOrçamento[[#This Row],[VALOR CONTRATADO]]</f>
        <v>15000</v>
      </c>
      <c r="H87" s="17">
        <f>SUMIFS(tbContratos[VALOR MEDIDO],tbContratos[OBRA],tbOrçamento[[#This Row],[OBRA]],tbContratos[SUBDISCIPLINA],tbOrçamento[[#This Row],[SUBDISCIPLINA]])</f>
        <v>0</v>
      </c>
      <c r="I87" s="17">
        <f>tbOrçamento[[#This Row],[VALOR CONTRATADO]]-tbOrçamento[[#This Row],[VALOR MEDIDO]]</f>
        <v>0</v>
      </c>
      <c r="J87" s="5" t="s">
        <v>40</v>
      </c>
    </row>
    <row r="88" spans="1:10" x14ac:dyDescent="0.3">
      <c r="A88" s="5" t="s">
        <v>59</v>
      </c>
      <c r="B88" s="9" t="str">
        <f>_xlfn.XLOOKUP(tbOrçamento[[#This Row],[OBRA]],tbObras[CÓDIGO],tbObras[NOME],"Não encontrado",0)</f>
        <v>UNA</v>
      </c>
      <c r="C88" s="5" t="s">
        <v>335</v>
      </c>
      <c r="D88" s="5" t="s">
        <v>325</v>
      </c>
      <c r="E88" s="17">
        <v>5000</v>
      </c>
      <c r="F88" s="17">
        <f>SUMIFS(tbContratos[VALOR CONTRATO],tbContratos[OBRA],tbOrçamento[[#This Row],[OBRA]],tbContratos[SUBDISCIPLINA],tbOrçamento[[#This Row],[SUBDISCIPLINA]])</f>
        <v>0</v>
      </c>
      <c r="G88" s="17">
        <f>tbOrçamento[[#This Row],[ORÇAMENTO BASE ]]-tbOrçamento[[#This Row],[VALOR CONTRATADO]]</f>
        <v>5000</v>
      </c>
      <c r="H88" s="17">
        <f>SUMIFS(tbContratos[VALOR MEDIDO],tbContratos[OBRA],tbOrçamento[[#This Row],[OBRA]],tbContratos[SUBDISCIPLINA],tbOrçamento[[#This Row],[SUBDISCIPLINA]])</f>
        <v>0</v>
      </c>
      <c r="I88" s="17">
        <f>tbOrçamento[[#This Row],[VALOR CONTRATADO]]-tbOrçamento[[#This Row],[VALOR MEDIDO]]</f>
        <v>0</v>
      </c>
      <c r="J88" s="5" t="s">
        <v>40</v>
      </c>
    </row>
    <row r="89" spans="1:10" x14ac:dyDescent="0.3">
      <c r="A89" s="5" t="s">
        <v>59</v>
      </c>
      <c r="B89" s="9" t="str">
        <f>_xlfn.XLOOKUP(tbOrçamento[[#This Row],[OBRA]],tbObras[CÓDIGO],tbObras[NOME],"Não encontrado",0)</f>
        <v>UNA</v>
      </c>
      <c r="C89" s="5" t="s">
        <v>25</v>
      </c>
      <c r="D89" s="5" t="s">
        <v>25</v>
      </c>
      <c r="E89" s="17">
        <v>250584</v>
      </c>
      <c r="F89" s="17">
        <f>SUMIFS(tbContratos[VALOR CONTRATO],tbContratos[OBRA],tbOrçamento[[#This Row],[OBRA]],tbContratos[SUBDISCIPLINA],tbOrçamento[[#This Row],[SUBDISCIPLINA]])</f>
        <v>250584</v>
      </c>
      <c r="G89" s="17">
        <f>tbOrçamento[[#This Row],[ORÇAMENTO BASE ]]-tbOrçamento[[#This Row],[VALOR CONTRATADO]]</f>
        <v>0</v>
      </c>
      <c r="H89" s="17">
        <f>SUMIFS(tbContratos[VALOR MEDIDO],tbContratos[OBRA],tbOrçamento[[#This Row],[OBRA]],tbContratos[SUBDISCIPLINA],tbOrçamento[[#This Row],[SUBDISCIPLINA]])</f>
        <v>10610.93</v>
      </c>
      <c r="I89" s="17">
        <f>tbOrçamento[[#This Row],[VALOR CONTRATADO]]-tbOrçamento[[#This Row],[VALOR MEDIDO]]</f>
        <v>239973.07</v>
      </c>
      <c r="J89" s="5" t="s">
        <v>40</v>
      </c>
    </row>
    <row r="90" spans="1:10" x14ac:dyDescent="0.3">
      <c r="A90" s="5" t="s">
        <v>58</v>
      </c>
      <c r="B90" s="5" t="str">
        <f>_xlfn.XLOOKUP(tbOrçamento[[#This Row],[OBRA]],tbObras[CÓDIGO],tbObras[NOME],"Não encontrado",0)</f>
        <v>Liberdade</v>
      </c>
      <c r="C90" s="5" t="s">
        <v>23</v>
      </c>
      <c r="D90" s="5" t="s">
        <v>23</v>
      </c>
      <c r="E90" s="17">
        <v>35000</v>
      </c>
      <c r="F90" s="17">
        <f>SUMIFS(tbContratos[VALOR CONTRATO],tbContratos[OBRA],tbOrçamento[[#This Row],[OBRA]],tbContratos[SUBDISCIPLINA],tbOrçamento[[#This Row],[SUBDISCIPLINA]])</f>
        <v>0</v>
      </c>
      <c r="G90" s="17">
        <f>tbOrçamento[[#This Row],[ORÇAMENTO BASE ]]-tbOrçamento[[#This Row],[VALOR CONTRATADO]]</f>
        <v>35000</v>
      </c>
      <c r="H90" s="17">
        <f>SUMIFS(tbContratos[VALOR MEDIDO],tbContratos[OBRA],tbOrçamento[[#This Row],[OBRA]],tbContratos[SUBDISCIPLINA],tbOrçamento[[#This Row],[SUBDISCIPLINA]])</f>
        <v>0</v>
      </c>
      <c r="I90" s="17">
        <f>tbOrçamento[[#This Row],[VALOR CONTRATADO]]-tbOrçamento[[#This Row],[VALOR MEDIDO]]</f>
        <v>0</v>
      </c>
      <c r="J90" s="5" t="s">
        <v>302</v>
      </c>
    </row>
    <row r="91" spans="1:10" x14ac:dyDescent="0.3">
      <c r="A91" s="5" t="s">
        <v>58</v>
      </c>
      <c r="B91" s="5" t="str">
        <f>_xlfn.XLOOKUP(tbOrçamento[[#This Row],[OBRA]],tbObras[CÓDIGO],tbObras[NOME],"Não encontrado",0)</f>
        <v>Liberdade</v>
      </c>
      <c r="C91" s="5" t="s">
        <v>29</v>
      </c>
      <c r="D91" s="5" t="s">
        <v>29</v>
      </c>
      <c r="E91" s="17">
        <v>5000</v>
      </c>
      <c r="F91" s="17">
        <f>SUMIFS(tbContratos[VALOR CONTRATO],tbContratos[OBRA],tbOrçamento[[#This Row],[OBRA]],tbContratos[SUBDISCIPLINA],tbOrçamento[[#This Row],[SUBDISCIPLINA]])</f>
        <v>0</v>
      </c>
      <c r="G91" s="17">
        <f>tbOrçamento[[#This Row],[ORÇAMENTO BASE ]]-tbOrçamento[[#This Row],[VALOR CONTRATADO]]</f>
        <v>5000</v>
      </c>
      <c r="H91" s="17">
        <f>SUMIFS(tbContratos[VALOR MEDIDO],tbContratos[OBRA],tbOrçamento[[#This Row],[OBRA]],tbContratos[SUBDISCIPLINA],tbOrçamento[[#This Row],[SUBDISCIPLINA]])</f>
        <v>0</v>
      </c>
      <c r="I91" s="17">
        <f>tbOrçamento[[#This Row],[VALOR CONTRATADO]]-tbOrçamento[[#This Row],[VALOR MEDIDO]]</f>
        <v>0</v>
      </c>
      <c r="J91" s="5" t="s">
        <v>302</v>
      </c>
    </row>
    <row r="92" spans="1:10" x14ac:dyDescent="0.3">
      <c r="A92" s="5" t="s">
        <v>58</v>
      </c>
      <c r="B92" s="5" t="str">
        <f>_xlfn.XLOOKUP(tbOrçamento[[#This Row],[OBRA]],tbObras[CÓDIGO],tbObras[NOME],"Não encontrado",0)</f>
        <v>Liberdade</v>
      </c>
      <c r="C92" s="5" t="s">
        <v>103</v>
      </c>
      <c r="D92" s="5" t="s">
        <v>113</v>
      </c>
      <c r="E92" s="17">
        <v>78000</v>
      </c>
      <c r="F92" s="17">
        <f>SUMIFS(tbContratos[VALOR CONTRATO],tbContratos[OBRA],tbOrçamento[[#This Row],[OBRA]],tbContratos[SUBDISCIPLINA],tbOrçamento[[#This Row],[SUBDISCIPLINA]])</f>
        <v>78000</v>
      </c>
      <c r="G92" s="17">
        <f>tbOrçamento[[#This Row],[ORÇAMENTO BASE ]]-tbOrçamento[[#This Row],[VALOR CONTRATADO]]</f>
        <v>0</v>
      </c>
      <c r="H92" s="17">
        <f>SUMIFS(tbContratos[VALOR MEDIDO],tbContratos[OBRA],tbOrçamento[[#This Row],[OBRA]],tbContratos[SUBDISCIPLINA],tbOrçamento[[#This Row],[SUBDISCIPLINA]])</f>
        <v>23400</v>
      </c>
      <c r="I92" s="17">
        <f>tbOrçamento[[#This Row],[VALOR CONTRATADO]]-tbOrçamento[[#This Row],[VALOR MEDIDO]]</f>
        <v>54600</v>
      </c>
      <c r="J92" s="5" t="s">
        <v>302</v>
      </c>
    </row>
    <row r="93" spans="1:10" x14ac:dyDescent="0.3">
      <c r="A93" s="5" t="s">
        <v>58</v>
      </c>
      <c r="B93" s="5" t="str">
        <f>_xlfn.XLOOKUP(tbOrçamento[[#This Row],[OBRA]],tbObras[CÓDIGO],tbObras[NOME],"Não encontrado",0)</f>
        <v>Liberdade</v>
      </c>
      <c r="C93" s="5" t="s">
        <v>103</v>
      </c>
      <c r="D93" s="5" t="s">
        <v>104</v>
      </c>
      <c r="E93" s="17">
        <v>2000</v>
      </c>
      <c r="F93" s="17">
        <f>SUMIFS(tbContratos[VALOR CONTRATO],tbContratos[OBRA],tbOrçamento[[#This Row],[OBRA]],tbContratos[SUBDISCIPLINA],tbOrçamento[[#This Row],[SUBDISCIPLINA]])</f>
        <v>0</v>
      </c>
      <c r="G93" s="17">
        <f>tbOrçamento[[#This Row],[ORÇAMENTO BASE ]]-tbOrçamento[[#This Row],[VALOR CONTRATADO]]</f>
        <v>2000</v>
      </c>
      <c r="H93" s="17">
        <f>SUMIFS(tbContratos[VALOR MEDIDO],tbContratos[OBRA],tbOrçamento[[#This Row],[OBRA]],tbContratos[SUBDISCIPLINA],tbOrçamento[[#This Row],[SUBDISCIPLINA]])</f>
        <v>0</v>
      </c>
      <c r="I93" s="17">
        <f>tbOrçamento[[#This Row],[VALOR CONTRATADO]]-tbOrçamento[[#This Row],[VALOR MEDIDO]]</f>
        <v>0</v>
      </c>
      <c r="J93" s="5" t="s">
        <v>352</v>
      </c>
    </row>
    <row r="94" spans="1:10" x14ac:dyDescent="0.3">
      <c r="A94" s="5" t="s">
        <v>58</v>
      </c>
      <c r="B94" s="5" t="str">
        <f>_xlfn.XLOOKUP(tbOrçamento[[#This Row],[OBRA]],tbObras[CÓDIGO],tbObras[NOME],"Não encontrado",0)</f>
        <v>Liberdade</v>
      </c>
      <c r="C94" s="5" t="s">
        <v>91</v>
      </c>
      <c r="D94" s="5" t="s">
        <v>114</v>
      </c>
      <c r="E94" s="17">
        <v>66000</v>
      </c>
      <c r="F94" s="17">
        <f>SUMIFS(tbContratos[VALOR CONTRATO],tbContratos[OBRA],tbOrçamento[[#This Row],[OBRA]],tbContratos[SUBDISCIPLINA],tbOrçamento[[#This Row],[SUBDISCIPLINA]])</f>
        <v>0</v>
      </c>
      <c r="G94" s="17">
        <f>tbOrçamento[[#This Row],[ORÇAMENTO BASE ]]-tbOrçamento[[#This Row],[VALOR CONTRATADO]]</f>
        <v>66000</v>
      </c>
      <c r="H94" s="17">
        <f>SUMIFS(tbContratos[VALOR MEDIDO],tbContratos[OBRA],tbOrçamento[[#This Row],[OBRA]],tbContratos[SUBDISCIPLINA],tbOrçamento[[#This Row],[SUBDISCIPLINA]])</f>
        <v>0</v>
      </c>
      <c r="I94" s="17">
        <f>tbOrçamento[[#This Row],[VALOR CONTRATADO]]-tbOrçamento[[#This Row],[VALOR MEDIDO]]</f>
        <v>0</v>
      </c>
      <c r="J94" s="5" t="s">
        <v>352</v>
      </c>
    </row>
    <row r="95" spans="1:10" x14ac:dyDescent="0.3">
      <c r="A95" s="5" t="s">
        <v>58</v>
      </c>
      <c r="B95" s="5" t="str">
        <f>_xlfn.XLOOKUP(tbOrçamento[[#This Row],[OBRA]],tbObras[CÓDIGO],tbObras[NOME],"Não encontrado",0)</f>
        <v>Liberdade</v>
      </c>
      <c r="C95" s="5" t="s">
        <v>33</v>
      </c>
      <c r="D95" s="5" t="s">
        <v>119</v>
      </c>
      <c r="E95" s="17">
        <v>15800</v>
      </c>
      <c r="F95" s="17">
        <f>SUMIFS(tbContratos[VALOR CONTRATO],tbContratos[OBRA],tbOrçamento[[#This Row],[OBRA]],tbContratos[SUBDISCIPLINA],tbOrçamento[[#This Row],[SUBDISCIPLINA]])</f>
        <v>0</v>
      </c>
      <c r="G95" s="17">
        <f>tbOrçamento[[#This Row],[ORÇAMENTO BASE ]]-tbOrçamento[[#This Row],[VALOR CONTRATADO]]</f>
        <v>15800</v>
      </c>
      <c r="H95" s="17">
        <f>SUMIFS(tbContratos[VALOR MEDIDO],tbContratos[OBRA],tbOrçamento[[#This Row],[OBRA]],tbContratos[SUBDISCIPLINA],tbOrçamento[[#This Row],[SUBDISCIPLINA]])</f>
        <v>0</v>
      </c>
      <c r="I95" s="17">
        <f>tbOrçamento[[#This Row],[VALOR CONTRATADO]]-tbOrçamento[[#This Row],[VALOR MEDIDO]]</f>
        <v>0</v>
      </c>
      <c r="J95" s="5" t="s">
        <v>302</v>
      </c>
    </row>
    <row r="96" spans="1:10" x14ac:dyDescent="0.3">
      <c r="A96" s="5" t="s">
        <v>58</v>
      </c>
      <c r="B96" s="5" t="str">
        <f>_xlfn.XLOOKUP(tbOrçamento[[#This Row],[OBRA]],tbObras[CÓDIGO],tbObras[NOME],"Não encontrado",0)</f>
        <v>Liberdade</v>
      </c>
      <c r="C96" s="5" t="s">
        <v>33</v>
      </c>
      <c r="D96" s="5" t="s">
        <v>121</v>
      </c>
      <c r="E96" s="17">
        <v>5000</v>
      </c>
      <c r="F96" s="17">
        <f>SUMIFS(tbContratos[VALOR CONTRATO],tbContratos[OBRA],tbOrçamento[[#This Row],[OBRA]],tbContratos[SUBDISCIPLINA],tbOrçamento[[#This Row],[SUBDISCIPLINA]])</f>
        <v>0</v>
      </c>
      <c r="G96" s="17">
        <f>tbOrçamento[[#This Row],[ORÇAMENTO BASE ]]-tbOrçamento[[#This Row],[VALOR CONTRATADO]]</f>
        <v>5000</v>
      </c>
      <c r="H96" s="17">
        <f>SUMIFS(tbContratos[VALOR MEDIDO],tbContratos[OBRA],tbOrçamento[[#This Row],[OBRA]],tbContratos[SUBDISCIPLINA],tbOrçamento[[#This Row],[SUBDISCIPLINA]])</f>
        <v>0</v>
      </c>
      <c r="I96" s="17">
        <f>tbOrçamento[[#This Row],[VALOR CONTRATADO]]-tbOrçamento[[#This Row],[VALOR MEDIDO]]</f>
        <v>0</v>
      </c>
      <c r="J96" s="5" t="s">
        <v>352</v>
      </c>
    </row>
    <row r="97" spans="1:10" x14ac:dyDescent="0.3">
      <c r="A97" s="5" t="s">
        <v>58</v>
      </c>
      <c r="B97" s="5" t="str">
        <f>_xlfn.XLOOKUP(tbOrçamento[[#This Row],[OBRA]],tbObras[CÓDIGO],tbObras[NOME],"Não encontrado",0)</f>
        <v>Liberdade</v>
      </c>
      <c r="C97" s="5" t="s">
        <v>35</v>
      </c>
      <c r="D97" s="5" t="s">
        <v>35</v>
      </c>
      <c r="E97" s="17">
        <v>90000</v>
      </c>
      <c r="F97" s="17">
        <f>SUMIFS(tbContratos[VALOR CONTRATO],tbContratos[OBRA],tbOrçamento[[#This Row],[OBRA]],tbContratos[SUBDISCIPLINA],tbOrçamento[[#This Row],[SUBDISCIPLINA]])</f>
        <v>0</v>
      </c>
      <c r="G97" s="17">
        <f>tbOrçamento[[#This Row],[ORÇAMENTO BASE ]]-tbOrçamento[[#This Row],[VALOR CONTRATADO]]</f>
        <v>90000</v>
      </c>
      <c r="H97" s="17">
        <f>SUMIFS(tbContratos[VALOR MEDIDO],tbContratos[OBRA],tbOrçamento[[#This Row],[OBRA]],tbContratos[SUBDISCIPLINA],tbOrçamento[[#This Row],[SUBDISCIPLINA]])</f>
        <v>0</v>
      </c>
      <c r="I97" s="17">
        <f>tbOrçamento[[#This Row],[VALOR CONTRATADO]]-tbOrçamento[[#This Row],[VALOR MEDIDO]]</f>
        <v>0</v>
      </c>
      <c r="J97" s="5" t="s">
        <v>352</v>
      </c>
    </row>
    <row r="98" spans="1:10" x14ac:dyDescent="0.3">
      <c r="A98" s="5" t="s">
        <v>58</v>
      </c>
      <c r="B98" s="5" t="str">
        <f>_xlfn.XLOOKUP(tbOrçamento[[#This Row],[OBRA]],tbObras[CÓDIGO],tbObras[NOME],"Não encontrado",0)</f>
        <v>Liberdade</v>
      </c>
      <c r="C98" s="5" t="s">
        <v>21</v>
      </c>
      <c r="D98" s="5" t="s">
        <v>21</v>
      </c>
      <c r="E98" s="17">
        <v>40000</v>
      </c>
      <c r="F98" s="17">
        <f>SUMIFS(tbContratos[VALOR CONTRATO],tbContratos[OBRA],tbOrçamento[[#This Row],[OBRA]],tbContratos[SUBDISCIPLINA],tbOrçamento[[#This Row],[SUBDISCIPLINA]])</f>
        <v>0</v>
      </c>
      <c r="G98" s="17">
        <f>tbOrçamento[[#This Row],[ORÇAMENTO BASE ]]-tbOrçamento[[#This Row],[VALOR CONTRATADO]]</f>
        <v>40000</v>
      </c>
      <c r="H98" s="17">
        <f>SUMIFS(tbContratos[VALOR MEDIDO],tbContratos[OBRA],tbOrçamento[[#This Row],[OBRA]],tbContratos[SUBDISCIPLINA],tbOrçamento[[#This Row],[SUBDISCIPLINA]])</f>
        <v>0</v>
      </c>
      <c r="I98" s="17">
        <f>tbOrçamento[[#This Row],[VALOR CONTRATADO]]-tbOrçamento[[#This Row],[VALOR MEDIDO]]</f>
        <v>0</v>
      </c>
      <c r="J98" s="5" t="s">
        <v>352</v>
      </c>
    </row>
    <row r="99" spans="1:10" x14ac:dyDescent="0.3">
      <c r="A99" s="5" t="s">
        <v>58</v>
      </c>
      <c r="B99" s="5" t="str">
        <f>_xlfn.XLOOKUP(tbOrçamento[[#This Row],[OBRA]],tbObras[CÓDIGO],tbObras[NOME],"Não encontrado",0)</f>
        <v>Liberdade</v>
      </c>
      <c r="C99" s="5" t="s">
        <v>41</v>
      </c>
      <c r="D99" s="5" t="s">
        <v>41</v>
      </c>
      <c r="E99" s="17">
        <v>10000</v>
      </c>
      <c r="F99" s="17">
        <f>SUMIFS(tbContratos[VALOR CONTRATO],tbContratos[OBRA],tbOrçamento[[#This Row],[OBRA]],tbContratos[SUBDISCIPLINA],tbOrçamento[[#This Row],[SUBDISCIPLINA]])</f>
        <v>0</v>
      </c>
      <c r="G99" s="17">
        <f>tbOrçamento[[#This Row],[ORÇAMENTO BASE ]]-tbOrçamento[[#This Row],[VALOR CONTRATADO]]</f>
        <v>10000</v>
      </c>
      <c r="H99" s="17">
        <f>SUMIFS(tbContratos[VALOR MEDIDO],tbContratos[OBRA],tbOrçamento[[#This Row],[OBRA]],tbContratos[SUBDISCIPLINA],tbOrçamento[[#This Row],[SUBDISCIPLINA]])</f>
        <v>0</v>
      </c>
      <c r="I99" s="17">
        <f>tbOrçamento[[#This Row],[VALOR CONTRATADO]]-tbOrçamento[[#This Row],[VALOR MEDIDO]]</f>
        <v>0</v>
      </c>
      <c r="J99" s="5" t="s">
        <v>352</v>
      </c>
    </row>
    <row r="100" spans="1:10" x14ac:dyDescent="0.3">
      <c r="A100" s="5" t="s">
        <v>58</v>
      </c>
      <c r="B100" s="5" t="str">
        <f>_xlfn.XLOOKUP(tbOrçamento[[#This Row],[OBRA]],tbObras[CÓDIGO],tbObras[NOME],"Não encontrado",0)</f>
        <v>Liberdade</v>
      </c>
      <c r="C100" s="5" t="s">
        <v>42</v>
      </c>
      <c r="D100" s="5" t="s">
        <v>42</v>
      </c>
      <c r="E100" s="17">
        <v>15000</v>
      </c>
      <c r="F100" s="17">
        <f>SUMIFS(tbContratos[VALOR CONTRATO],tbContratos[OBRA],tbOrçamento[[#This Row],[OBRA]],tbContratos[SUBDISCIPLINA],tbOrçamento[[#This Row],[SUBDISCIPLINA]])</f>
        <v>0</v>
      </c>
      <c r="G100" s="17">
        <f>tbOrçamento[[#This Row],[ORÇAMENTO BASE ]]-tbOrçamento[[#This Row],[VALOR CONTRATADO]]</f>
        <v>15000</v>
      </c>
      <c r="H100" s="17">
        <f>SUMIFS(tbContratos[VALOR MEDIDO],tbContratos[OBRA],tbOrçamento[[#This Row],[OBRA]],tbContratos[SUBDISCIPLINA],tbOrçamento[[#This Row],[SUBDISCIPLINA]])</f>
        <v>0</v>
      </c>
      <c r="I100" s="17">
        <f>tbOrçamento[[#This Row],[VALOR CONTRATADO]]-tbOrçamento[[#This Row],[VALOR MEDIDO]]</f>
        <v>0</v>
      </c>
      <c r="J100" s="5" t="s">
        <v>352</v>
      </c>
    </row>
    <row r="101" spans="1:10" x14ac:dyDescent="0.3">
      <c r="A101" s="5" t="s">
        <v>58</v>
      </c>
      <c r="B101" s="5" t="str">
        <f>_xlfn.XLOOKUP(tbOrçamento[[#This Row],[OBRA]],tbObras[CÓDIGO],tbObras[NOME],"Não encontrado",0)</f>
        <v>Liberdade</v>
      </c>
      <c r="C101" s="5" t="s">
        <v>125</v>
      </c>
      <c r="D101" s="5" t="s">
        <v>125</v>
      </c>
      <c r="E101" s="17">
        <v>10000</v>
      </c>
      <c r="F101" s="17">
        <f>SUMIFS(tbContratos[VALOR CONTRATO],tbContratos[OBRA],tbOrçamento[[#This Row],[OBRA]],tbContratos[SUBDISCIPLINA],tbOrçamento[[#This Row],[SUBDISCIPLINA]])</f>
        <v>0</v>
      </c>
      <c r="G101" s="17">
        <f>tbOrçamento[[#This Row],[ORÇAMENTO BASE ]]-tbOrçamento[[#This Row],[VALOR CONTRATADO]]</f>
        <v>10000</v>
      </c>
      <c r="H101" s="17">
        <f>SUMIFS(tbContratos[VALOR MEDIDO],tbContratos[OBRA],tbOrçamento[[#This Row],[OBRA]],tbContratos[SUBDISCIPLINA],tbOrçamento[[#This Row],[SUBDISCIPLINA]])</f>
        <v>0</v>
      </c>
      <c r="I101" s="17">
        <f>tbOrçamento[[#This Row],[VALOR CONTRATADO]]-tbOrçamento[[#This Row],[VALOR MEDIDO]]</f>
        <v>0</v>
      </c>
      <c r="J101" s="5" t="s">
        <v>352</v>
      </c>
    </row>
    <row r="102" spans="1:10" x14ac:dyDescent="0.3">
      <c r="A102" s="5" t="s">
        <v>58</v>
      </c>
      <c r="B102" s="5" t="str">
        <f>_xlfn.XLOOKUP(tbOrçamento[[#This Row],[OBRA]],tbObras[CÓDIGO],tbObras[NOME],"Não encontrado",0)</f>
        <v>Liberdade</v>
      </c>
      <c r="C102" s="5" t="s">
        <v>126</v>
      </c>
      <c r="D102" s="5" t="s">
        <v>126</v>
      </c>
      <c r="E102" s="17">
        <v>7500</v>
      </c>
      <c r="F102" s="17">
        <f>SUMIFS(tbContratos[VALOR CONTRATO],tbContratos[OBRA],tbOrçamento[[#This Row],[OBRA]],tbContratos[SUBDISCIPLINA],tbOrçamento[[#This Row],[SUBDISCIPLINA]])</f>
        <v>0</v>
      </c>
      <c r="G102" s="17">
        <f>tbOrçamento[[#This Row],[ORÇAMENTO BASE ]]-tbOrçamento[[#This Row],[VALOR CONTRATADO]]</f>
        <v>7500</v>
      </c>
      <c r="H102" s="17">
        <f>SUMIFS(tbContratos[VALOR MEDIDO],tbContratos[OBRA],tbOrçamento[[#This Row],[OBRA]],tbContratos[SUBDISCIPLINA],tbOrçamento[[#This Row],[SUBDISCIPLINA]])</f>
        <v>0</v>
      </c>
      <c r="I102" s="17">
        <f>tbOrçamento[[#This Row],[VALOR CONTRATADO]]-tbOrçamento[[#This Row],[VALOR MEDIDO]]</f>
        <v>0</v>
      </c>
      <c r="J102" s="5" t="s">
        <v>352</v>
      </c>
    </row>
    <row r="103" spans="1:10" x14ac:dyDescent="0.3">
      <c r="A103" s="5" t="s">
        <v>58</v>
      </c>
      <c r="B103" s="5" t="str">
        <f>_xlfn.XLOOKUP(tbOrçamento[[#This Row],[OBRA]],tbObras[CÓDIGO],tbObras[NOME],"Não encontrado",0)</f>
        <v>Liberdade</v>
      </c>
      <c r="C103" s="5" t="s">
        <v>39</v>
      </c>
      <c r="D103" s="5" t="s">
        <v>39</v>
      </c>
      <c r="E103" s="17">
        <v>6000</v>
      </c>
      <c r="F103" s="17">
        <f>SUMIFS(tbContratos[VALOR CONTRATO],tbContratos[OBRA],tbOrçamento[[#This Row],[OBRA]],tbContratos[SUBDISCIPLINA],tbOrçamento[[#This Row],[SUBDISCIPLINA]])</f>
        <v>5000</v>
      </c>
      <c r="G103" s="17">
        <f>tbOrçamento[[#This Row],[ORÇAMENTO BASE ]]-tbOrçamento[[#This Row],[VALOR CONTRATADO]]</f>
        <v>1000</v>
      </c>
      <c r="H103" s="17">
        <f>SUMIFS(tbContratos[VALOR MEDIDO],tbContratos[OBRA],tbOrçamento[[#This Row],[OBRA]],tbContratos[SUBDISCIPLINA],tbOrçamento[[#This Row],[SUBDISCIPLINA]])</f>
        <v>0</v>
      </c>
      <c r="I103" s="17">
        <f>tbOrçamento[[#This Row],[VALOR CONTRATADO]]-tbOrçamento[[#This Row],[VALOR MEDIDO]]</f>
        <v>5000</v>
      </c>
      <c r="J103" s="5" t="s">
        <v>302</v>
      </c>
    </row>
    <row r="104" spans="1:10" x14ac:dyDescent="0.3">
      <c r="A104" s="5" t="s">
        <v>58</v>
      </c>
      <c r="B104" s="5" t="str">
        <f>_xlfn.XLOOKUP(tbOrçamento[[#This Row],[OBRA]],tbObras[CÓDIGO],tbObras[NOME],"Não encontrado",0)</f>
        <v>Liberdade</v>
      </c>
      <c r="C104" s="5" t="s">
        <v>127</v>
      </c>
      <c r="D104" s="5" t="s">
        <v>128</v>
      </c>
      <c r="E104" s="17">
        <v>5000</v>
      </c>
      <c r="F104" s="17">
        <f>SUMIFS(tbContratos[VALOR CONTRATO],tbContratos[OBRA],tbOrçamento[[#This Row],[OBRA]],tbContratos[SUBDISCIPLINA],tbOrçamento[[#This Row],[SUBDISCIPLINA]])</f>
        <v>0</v>
      </c>
      <c r="G104" s="17">
        <f>tbOrçamento[[#This Row],[ORÇAMENTO BASE ]]-tbOrçamento[[#This Row],[VALOR CONTRATADO]]</f>
        <v>5000</v>
      </c>
      <c r="H104" s="17">
        <f>SUMIFS(tbContratos[VALOR MEDIDO],tbContratos[OBRA],tbOrçamento[[#This Row],[OBRA]],tbContratos[SUBDISCIPLINA],tbOrçamento[[#This Row],[SUBDISCIPLINA]])</f>
        <v>0</v>
      </c>
      <c r="I104" s="17">
        <f>tbOrçamento[[#This Row],[VALOR CONTRATADO]]-tbOrçamento[[#This Row],[VALOR MEDIDO]]</f>
        <v>0</v>
      </c>
      <c r="J104" s="5" t="s">
        <v>352</v>
      </c>
    </row>
    <row r="105" spans="1:10" x14ac:dyDescent="0.3">
      <c r="A105" s="5" t="s">
        <v>58</v>
      </c>
      <c r="B105" s="5" t="str">
        <f>_xlfn.XLOOKUP(tbOrçamento[[#This Row],[OBRA]],tbObras[CÓDIGO],tbObras[NOME],"Não encontrado",0)</f>
        <v>Liberdade</v>
      </c>
      <c r="C105" s="5" t="s">
        <v>127</v>
      </c>
      <c r="D105" s="5" t="s">
        <v>129</v>
      </c>
      <c r="E105" s="17">
        <v>10000</v>
      </c>
      <c r="F105" s="17">
        <f>SUMIFS(tbContratos[VALOR CONTRATO],tbContratos[OBRA],tbOrçamento[[#This Row],[OBRA]],tbContratos[SUBDISCIPLINA],tbOrçamento[[#This Row],[SUBDISCIPLINA]])</f>
        <v>0</v>
      </c>
      <c r="G105" s="17">
        <f>tbOrçamento[[#This Row],[ORÇAMENTO BASE ]]-tbOrçamento[[#This Row],[VALOR CONTRATADO]]</f>
        <v>10000</v>
      </c>
      <c r="H105" s="17">
        <f>SUMIFS(tbContratos[VALOR MEDIDO],tbContratos[OBRA],tbOrçamento[[#This Row],[OBRA]],tbContratos[SUBDISCIPLINA],tbOrçamento[[#This Row],[SUBDISCIPLINA]])</f>
        <v>0</v>
      </c>
      <c r="I105" s="17">
        <f>tbOrçamento[[#This Row],[VALOR CONTRATADO]]-tbOrçamento[[#This Row],[VALOR MEDIDO]]</f>
        <v>0</v>
      </c>
      <c r="J105" s="5" t="s">
        <v>352</v>
      </c>
    </row>
    <row r="106" spans="1:10" x14ac:dyDescent="0.3">
      <c r="A106" s="5" t="s">
        <v>58</v>
      </c>
      <c r="B106" s="9" t="str">
        <f>_xlfn.XLOOKUP(tbOrçamento[[#This Row],[OBRA]],tbObras[CÓDIGO],tbObras[NOME],"Não encontrado",0)</f>
        <v>Liberdade</v>
      </c>
      <c r="C106" s="5" t="s">
        <v>127</v>
      </c>
      <c r="D106" s="5" t="s">
        <v>132</v>
      </c>
      <c r="E106" s="17"/>
      <c r="F106" s="17">
        <f>SUMIFS(tbContratos[VALOR CONTRATO],tbContratos[OBRA],tbOrçamento[[#This Row],[OBRA]],tbContratos[SUBDISCIPLINA],tbOrçamento[[#This Row],[SUBDISCIPLINA]])</f>
        <v>0</v>
      </c>
      <c r="G106" s="17">
        <f>tbOrçamento[[#This Row],[ORÇAMENTO BASE ]]-tbOrçamento[[#This Row],[VALOR CONTRATADO]]</f>
        <v>0</v>
      </c>
      <c r="H106" s="17">
        <f>SUMIFS(tbContratos[VALOR MEDIDO],tbContratos[OBRA],tbOrçamento[[#This Row],[OBRA]],tbContratos[SUBDISCIPLINA],tbOrçamento[[#This Row],[SUBDISCIPLINA]])</f>
        <v>0</v>
      </c>
      <c r="I106" s="17">
        <f>tbOrçamento[[#This Row],[VALOR CONTRATADO]]-tbOrçamento[[#This Row],[VALOR MEDIDO]]</f>
        <v>0</v>
      </c>
      <c r="J106" s="5" t="s">
        <v>352</v>
      </c>
    </row>
    <row r="107" spans="1:10" x14ac:dyDescent="0.3">
      <c r="A107" s="5" t="s">
        <v>58</v>
      </c>
      <c r="B107" s="9" t="str">
        <f>_xlfn.XLOOKUP(tbOrçamento[[#This Row],[OBRA]],tbObras[CÓDIGO],tbObras[NOME],"Não encontrado",0)</f>
        <v>Liberdade</v>
      </c>
      <c r="C107" s="5" t="s">
        <v>92</v>
      </c>
      <c r="D107" s="5" t="s">
        <v>323</v>
      </c>
      <c r="E107" s="17">
        <v>10000</v>
      </c>
      <c r="F107" s="17">
        <f>SUMIFS(tbContratos[VALOR CONTRATO],tbContratos[OBRA],tbOrçamento[[#This Row],[OBRA]],tbContratos[SUBDISCIPLINA],tbOrçamento[[#This Row],[SUBDISCIPLINA]])</f>
        <v>8067.11</v>
      </c>
      <c r="G107" s="17">
        <f>tbOrçamento[[#This Row],[ORÇAMENTO BASE ]]-tbOrçamento[[#This Row],[VALOR CONTRATADO]]</f>
        <v>1932.8900000000003</v>
      </c>
      <c r="H107" s="17">
        <f>SUMIFS(tbContratos[VALOR MEDIDO],tbContratos[OBRA],tbOrçamento[[#This Row],[OBRA]],tbContratos[SUBDISCIPLINA],tbOrçamento[[#This Row],[SUBDISCIPLINA]])</f>
        <v>2420.1329999999998</v>
      </c>
      <c r="I107" s="17">
        <f>tbOrçamento[[#This Row],[VALOR CONTRATADO]]-tbOrçamento[[#This Row],[VALOR MEDIDO]]</f>
        <v>5646.9769999999999</v>
      </c>
      <c r="J107" s="5" t="s">
        <v>302</v>
      </c>
    </row>
    <row r="108" spans="1:10" x14ac:dyDescent="0.3">
      <c r="A108" s="5" t="s">
        <v>58</v>
      </c>
      <c r="B108" s="9" t="str">
        <f>_xlfn.XLOOKUP(tbOrçamento[[#This Row],[OBRA]],tbObras[CÓDIGO],tbObras[NOME],"Não encontrado",0)</f>
        <v>Liberdade</v>
      </c>
      <c r="C108" s="5" t="s">
        <v>92</v>
      </c>
      <c r="D108" s="5" t="s">
        <v>325</v>
      </c>
      <c r="E108" s="17">
        <v>15000</v>
      </c>
      <c r="F108" s="17">
        <f>SUMIFS(tbContratos[VALOR CONTRATO],tbContratos[OBRA],tbOrçamento[[#This Row],[OBRA]],tbContratos[SUBDISCIPLINA],tbOrçamento[[#This Row],[SUBDISCIPLINA]])</f>
        <v>0</v>
      </c>
      <c r="G108" s="17">
        <f>tbOrçamento[[#This Row],[ORÇAMENTO BASE ]]-tbOrçamento[[#This Row],[VALOR CONTRATADO]]</f>
        <v>15000</v>
      </c>
      <c r="H108" s="17">
        <f>SUMIFS(tbContratos[VALOR MEDIDO],tbContratos[OBRA],tbOrçamento[[#This Row],[OBRA]],tbContratos[SUBDISCIPLINA],tbOrçamento[[#This Row],[SUBDISCIPLINA]])</f>
        <v>0</v>
      </c>
      <c r="I108" s="17">
        <f>tbOrçamento[[#This Row],[VALOR CONTRATADO]]-tbOrçamento[[#This Row],[VALOR MEDIDO]]</f>
        <v>0</v>
      </c>
      <c r="J108" s="5" t="s">
        <v>352</v>
      </c>
    </row>
    <row r="109" spans="1:10" x14ac:dyDescent="0.3">
      <c r="A109" s="5" t="s">
        <v>58</v>
      </c>
      <c r="B109" s="9" t="str">
        <f>_xlfn.XLOOKUP(tbOrçamento[[#This Row],[OBRA]],tbObras[CÓDIGO],tbObras[NOME],"Não encontrado",0)</f>
        <v>Liberdade</v>
      </c>
      <c r="C109" s="5" t="s">
        <v>335</v>
      </c>
      <c r="D109" s="5" t="s">
        <v>325</v>
      </c>
      <c r="E109" s="17">
        <v>5000</v>
      </c>
      <c r="F109" s="17">
        <f>SUMIFS(tbContratos[VALOR CONTRATO],tbContratos[OBRA],tbOrçamento[[#This Row],[OBRA]],tbContratos[SUBDISCIPLINA],tbOrçamento[[#This Row],[SUBDISCIPLINA]])</f>
        <v>0</v>
      </c>
      <c r="G109" s="17">
        <f>tbOrçamento[[#This Row],[ORÇAMENTO BASE ]]-tbOrçamento[[#This Row],[VALOR CONTRATADO]]</f>
        <v>5000</v>
      </c>
      <c r="H109" s="17">
        <f>SUMIFS(tbContratos[VALOR MEDIDO],tbContratos[OBRA],tbOrçamento[[#This Row],[OBRA]],tbContratos[SUBDISCIPLINA],tbOrçamento[[#This Row],[SUBDISCIPLINA]])</f>
        <v>0</v>
      </c>
      <c r="I109" s="17">
        <f>tbOrçamento[[#This Row],[VALOR CONTRATADO]]-tbOrçamento[[#This Row],[VALOR MEDIDO]]</f>
        <v>0</v>
      </c>
      <c r="J109" s="5" t="s">
        <v>352</v>
      </c>
    </row>
    <row r="110" spans="1:10" x14ac:dyDescent="0.3">
      <c r="A110" s="5" t="s">
        <v>58</v>
      </c>
      <c r="B110" s="9" t="str">
        <f>_xlfn.XLOOKUP(tbOrçamento[[#This Row],[OBRA]],tbObras[CÓDIGO],tbObras[NOME],"Não encontrado",0)</f>
        <v>Liberdade</v>
      </c>
      <c r="C110" s="5" t="s">
        <v>25</v>
      </c>
      <c r="D110" s="5" t="s">
        <v>25</v>
      </c>
      <c r="E110" s="17">
        <v>148572</v>
      </c>
      <c r="F110" s="17">
        <f>SUMIFS(tbContratos[VALOR CONTRATO],tbContratos[OBRA],tbOrçamento[[#This Row],[OBRA]],tbContratos[SUBDISCIPLINA],tbOrçamento[[#This Row],[SUBDISCIPLINA]])</f>
        <v>600</v>
      </c>
      <c r="G110" s="17">
        <f>tbOrçamento[[#This Row],[ORÇAMENTO BASE ]]-tbOrçamento[[#This Row],[VALOR CONTRATADO]]</f>
        <v>147972</v>
      </c>
      <c r="H110" s="17">
        <f>SUMIFS(tbContratos[VALOR MEDIDO],tbContratos[OBRA],tbOrçamento[[#This Row],[OBRA]],tbContratos[SUBDISCIPLINA],tbOrçamento[[#This Row],[SUBDISCIPLINA]])</f>
        <v>0</v>
      </c>
      <c r="I110" s="17">
        <f>tbOrçamento[[#This Row],[VALOR CONTRATADO]]-tbOrçamento[[#This Row],[VALOR MEDIDO]]</f>
        <v>600</v>
      </c>
      <c r="J110" s="5" t="s">
        <v>352</v>
      </c>
    </row>
    <row r="111" spans="1:10" x14ac:dyDescent="0.3">
      <c r="A111" t="s">
        <v>15</v>
      </c>
      <c r="E111" s="10">
        <f>SUBTOTAL(109,tbOrçamento[[ORÇAMENTO BASE ]])</f>
        <v>4903692.5</v>
      </c>
      <c r="F111" s="10">
        <f>SUBTOTAL(109,tbOrçamento[VALOR CONTRATADO])</f>
        <v>3845910.5400000005</v>
      </c>
      <c r="G111" s="10">
        <f>SUBTOTAL(109,tbOrçamento[SALDO A CONTRATAR])</f>
        <v>1057781.96</v>
      </c>
      <c r="J111">
        <f>SUBTOTAL(103,tbOrçamento[[STATUS ]])</f>
        <v>109</v>
      </c>
    </row>
  </sheetData>
  <dataConsolidate/>
  <conditionalFormatting sqref="G1:I1048576">
    <cfRule type="expression" priority="5">
      <formula>"[Green]#,##0;[Red]-#,##0;[Blue]0"</formula>
    </cfRule>
  </conditionalFormatting>
  <dataValidations count="4">
    <dataValidation type="list" allowBlank="1" showInputMessage="1" showErrorMessage="1" sqref="J2:J110" xr:uid="{B58732EF-9674-4020-B995-AEA831D3FBCC}">
      <formula1>ListaStatusOrçamento</formula1>
    </dataValidation>
    <dataValidation type="list" allowBlank="1" showInputMessage="1" showErrorMessage="1" sqref="A2:A110" xr:uid="{4E95BA35-27F6-4552-BB4B-AABE808A1285}">
      <formula1>ListaObras</formula1>
    </dataValidation>
    <dataValidation type="list" allowBlank="1" showInputMessage="1" showErrorMessage="1" sqref="C2:C110" xr:uid="{F141760C-6638-486B-8290-8309C7FE1B17}">
      <formula1>ListaDisciplinas</formula1>
    </dataValidation>
    <dataValidation type="list" allowBlank="1" showInputMessage="1" showErrorMessage="1" sqref="D2:D110" xr:uid="{68A9CC50-E5A1-46B2-A5D9-75F280466518}">
      <formula1>ListaSubdisciplinas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5E61-7782-4985-AC14-807C89745832}">
  <dimension ref="A1:J62"/>
  <sheetViews>
    <sheetView tabSelected="1" topLeftCell="A40" workbookViewId="0">
      <selection activeCell="H55" sqref="H55"/>
    </sheetView>
  </sheetViews>
  <sheetFormatPr defaultRowHeight="14.4" x14ac:dyDescent="0.3"/>
  <cols>
    <col min="1" max="1" width="15.5546875" bestFit="1" customWidth="1"/>
    <col min="2" max="2" width="15.5546875" customWidth="1"/>
    <col min="3" max="3" width="13.5546875" bestFit="1" customWidth="1"/>
    <col min="4" max="4" width="13.5546875" customWidth="1"/>
    <col min="5" max="5" width="17.44140625" bestFit="1" customWidth="1"/>
    <col min="6" max="6" width="23.6640625" bestFit="1" customWidth="1"/>
    <col min="7" max="9" width="20.5546875" customWidth="1"/>
    <col min="10" max="10" width="20.5546875" style="25" customWidth="1"/>
  </cols>
  <sheetData>
    <row r="1" spans="1:10" x14ac:dyDescent="0.3">
      <c r="A1" s="21" t="s">
        <v>77</v>
      </c>
      <c r="B1" s="21" t="s">
        <v>101</v>
      </c>
      <c r="C1" s="21" t="s">
        <v>78</v>
      </c>
      <c r="D1" s="21" t="s">
        <v>46</v>
      </c>
      <c r="E1" s="5" t="s">
        <v>72</v>
      </c>
      <c r="F1" s="5" t="s">
        <v>73</v>
      </c>
      <c r="G1" s="21" t="s">
        <v>675</v>
      </c>
      <c r="H1" s="21" t="s">
        <v>381</v>
      </c>
      <c r="I1" s="21" t="s">
        <v>662</v>
      </c>
      <c r="J1" s="27" t="s">
        <v>663</v>
      </c>
    </row>
    <row r="2" spans="1:10" x14ac:dyDescent="0.3">
      <c r="A2" s="21" t="s">
        <v>265</v>
      </c>
      <c r="B2" s="21">
        <v>95</v>
      </c>
      <c r="C2" s="21" t="s">
        <v>97</v>
      </c>
      <c r="D2" s="21" t="s">
        <v>47</v>
      </c>
      <c r="E2" s="21" t="str">
        <f>_xlfn.XLOOKUP(tbContratos[[#This Row],[EMPRESA]],tbFornecedores[FORNECEDOR],tbFornecedores[TIPO],"Não encontrado")</f>
        <v>ARQUITETURA</v>
      </c>
      <c r="F2" s="21" t="s">
        <v>113</v>
      </c>
      <c r="G2" s="23">
        <v>108000</v>
      </c>
      <c r="H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102600</v>
      </c>
      <c r="I2" s="23">
        <f>tbContratos[[#This Row],[VALOR CONTRATO]]-tbContratos[[#This Row],[VALOR MEDIDO]]</f>
        <v>5400</v>
      </c>
      <c r="J2" s="27">
        <f>tbContratos[[#This Row],[VALOR MEDIDO]]/tbContratos[[#This Row],[VALOR CONTRATO]]</f>
        <v>0.95</v>
      </c>
    </row>
    <row r="3" spans="1:10" x14ac:dyDescent="0.3">
      <c r="A3" s="21" t="s">
        <v>266</v>
      </c>
      <c r="B3" s="21">
        <v>593</v>
      </c>
      <c r="C3" s="21" t="s">
        <v>97</v>
      </c>
      <c r="D3" s="21" t="s">
        <v>56</v>
      </c>
      <c r="E3" s="21" t="str">
        <f>_xlfn.XLOOKUP(tbContratos[[#This Row],[EMPRESA]],tbFornecedores[FORNECEDOR],tbFornecedores[TIPO],"Não encontrado")</f>
        <v>ARQUITETURA</v>
      </c>
      <c r="F3" s="21" t="s">
        <v>113</v>
      </c>
      <c r="G3" s="23">
        <v>85680</v>
      </c>
      <c r="H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47124</v>
      </c>
      <c r="I3" s="23">
        <f>tbContratos[[#This Row],[VALOR CONTRATO]]-tbContratos[[#This Row],[VALOR MEDIDO]]</f>
        <v>38556</v>
      </c>
      <c r="J3" s="27">
        <f>tbContratos[[#This Row],[VALOR MEDIDO]]/tbContratos[[#This Row],[VALOR CONTRATO]]</f>
        <v>0.55000000000000004</v>
      </c>
    </row>
    <row r="4" spans="1:10" x14ac:dyDescent="0.3">
      <c r="A4" s="21" t="s">
        <v>267</v>
      </c>
      <c r="B4" s="21">
        <v>355</v>
      </c>
      <c r="C4" s="21" t="s">
        <v>97</v>
      </c>
      <c r="D4" s="21" t="s">
        <v>57</v>
      </c>
      <c r="E4" s="21" t="str">
        <f>_xlfn.XLOOKUP(tbContratos[[#This Row],[EMPRESA]],tbFornecedores[FORNECEDOR],tbFornecedores[TIPO],"Não encontrado")</f>
        <v>ARQUITETURA</v>
      </c>
      <c r="F4" s="21" t="s">
        <v>113</v>
      </c>
      <c r="G4" s="23">
        <v>160000</v>
      </c>
      <c r="H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64000</v>
      </c>
      <c r="I4" s="23">
        <f>tbContratos[[#This Row],[VALOR CONTRATO]]-tbContratos[[#This Row],[VALOR MEDIDO]]</f>
        <v>96000</v>
      </c>
      <c r="J4" s="27">
        <f>tbContratos[[#This Row],[VALOR MEDIDO]]/tbContratos[[#This Row],[VALOR CONTRATO]]</f>
        <v>0.4</v>
      </c>
    </row>
    <row r="5" spans="1:10" x14ac:dyDescent="0.3">
      <c r="A5" s="21" t="s">
        <v>268</v>
      </c>
      <c r="B5" s="21">
        <v>42</v>
      </c>
      <c r="C5" s="21" t="s">
        <v>97</v>
      </c>
      <c r="D5" s="21" t="s">
        <v>58</v>
      </c>
      <c r="E5" s="21" t="str">
        <f>_xlfn.XLOOKUP(tbContratos[[#This Row],[EMPRESA]],tbFornecedores[FORNECEDOR],tbFornecedores[TIPO],"Não encontrado")</f>
        <v>ARQUITETURA</v>
      </c>
      <c r="F5" s="21" t="s">
        <v>113</v>
      </c>
      <c r="G5" s="23">
        <v>78000</v>
      </c>
      <c r="H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23400</v>
      </c>
      <c r="I5" s="23">
        <f>tbContratos[[#This Row],[VALOR CONTRATO]]-tbContratos[[#This Row],[VALOR MEDIDO]]</f>
        <v>54600</v>
      </c>
      <c r="J5" s="27">
        <f>tbContratos[[#This Row],[VALOR MEDIDO]]/tbContratos[[#This Row],[VALOR CONTRATO]]</f>
        <v>0.3</v>
      </c>
    </row>
    <row r="6" spans="1:10" x14ac:dyDescent="0.3">
      <c r="A6" s="21" t="s">
        <v>269</v>
      </c>
      <c r="B6" s="21">
        <v>240</v>
      </c>
      <c r="C6" s="21" t="s">
        <v>80</v>
      </c>
      <c r="D6" s="21" t="s">
        <v>47</v>
      </c>
      <c r="E6" s="21" t="str">
        <f>_xlfn.XLOOKUP(tbContratos[[#This Row],[EMPRESA]],tbFornecedores[FORNECEDOR],tbFornecedores[TIPO],"Não encontrado")</f>
        <v>ESTRUTURA</v>
      </c>
      <c r="F6" s="21" t="s">
        <v>114</v>
      </c>
      <c r="G6" s="23">
        <v>90000</v>
      </c>
      <c r="H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18000</v>
      </c>
      <c r="I6" s="23">
        <f>tbContratos[[#This Row],[VALOR CONTRATO]]-tbContratos[[#This Row],[VALOR MEDIDO]]</f>
        <v>72000</v>
      </c>
      <c r="J6" s="27">
        <f>tbContratos[[#This Row],[VALOR MEDIDO]]/tbContratos[[#This Row],[VALOR CONTRATO]]</f>
        <v>0.2</v>
      </c>
    </row>
    <row r="7" spans="1:10" x14ac:dyDescent="0.3">
      <c r="A7" s="21" t="s">
        <v>270</v>
      </c>
      <c r="B7" s="21">
        <v>594</v>
      </c>
      <c r="C7" s="21" t="s">
        <v>80</v>
      </c>
      <c r="D7" s="21" t="s">
        <v>56</v>
      </c>
      <c r="E7" s="21" t="str">
        <f>_xlfn.XLOOKUP(tbContratos[[#This Row],[EMPRESA]],tbFornecedores[FORNECEDOR],tbFornecedores[TIPO],"Não encontrado")</f>
        <v>ESTRUTURA</v>
      </c>
      <c r="F7" s="21" t="s">
        <v>114</v>
      </c>
      <c r="G7" s="23">
        <v>100000</v>
      </c>
      <c r="H7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15000</v>
      </c>
      <c r="I7" s="23">
        <f>tbContratos[[#This Row],[VALOR CONTRATO]]-tbContratos[[#This Row],[VALOR MEDIDO]]</f>
        <v>85000</v>
      </c>
      <c r="J7" s="27">
        <f>tbContratos[[#This Row],[VALOR MEDIDO]]/tbContratos[[#This Row],[VALOR CONTRATO]]</f>
        <v>0.15</v>
      </c>
    </row>
    <row r="8" spans="1:10" x14ac:dyDescent="0.3">
      <c r="A8" s="21" t="s">
        <v>271</v>
      </c>
      <c r="B8" s="21">
        <v>484</v>
      </c>
      <c r="C8" s="21" t="s">
        <v>80</v>
      </c>
      <c r="D8" s="21" t="s">
        <v>57</v>
      </c>
      <c r="E8" s="21" t="str">
        <f>_xlfn.XLOOKUP(tbContratos[[#This Row],[EMPRESA]],tbFornecedores[FORNECEDOR],tbFornecedores[TIPO],"Não encontrado")</f>
        <v>ESTRUTURA</v>
      </c>
      <c r="F8" s="21" t="s">
        <v>114</v>
      </c>
      <c r="G8" s="23">
        <v>210000</v>
      </c>
      <c r="H8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31500</v>
      </c>
      <c r="I8" s="23">
        <f>tbContratos[[#This Row],[VALOR CONTRATO]]-tbContratos[[#This Row],[VALOR MEDIDO]]</f>
        <v>178500</v>
      </c>
      <c r="J8" s="27">
        <f>tbContratos[[#This Row],[VALOR MEDIDO]]/tbContratos[[#This Row],[VALOR CONTRATO]]</f>
        <v>0.15</v>
      </c>
    </row>
    <row r="9" spans="1:10" x14ac:dyDescent="0.3">
      <c r="A9" s="21" t="s">
        <v>272</v>
      </c>
      <c r="B9" s="21">
        <v>485</v>
      </c>
      <c r="C9" s="21" t="s">
        <v>83</v>
      </c>
      <c r="D9" s="21" t="s">
        <v>59</v>
      </c>
      <c r="E9" s="21" t="str">
        <f>_xlfn.XLOOKUP(tbContratos[[#This Row],[EMPRESA]],tbFornecedores[FORNECEDOR],tbFornecedores[TIPO],"Não encontrado")</f>
        <v>INTERIORES</v>
      </c>
      <c r="F9" s="21" t="s">
        <v>21</v>
      </c>
      <c r="G9" s="23">
        <v>29000</v>
      </c>
      <c r="H9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9404.1666666666661</v>
      </c>
      <c r="I9" s="23">
        <f>tbContratos[[#This Row],[VALOR CONTRATO]]-tbContratos[[#This Row],[VALOR MEDIDO]]</f>
        <v>19595.833333333336</v>
      </c>
      <c r="J9" s="27">
        <f>tbContratos[[#This Row],[VALOR MEDIDO]]/tbContratos[[#This Row],[VALOR CONTRATO]]</f>
        <v>0.32428160919540228</v>
      </c>
    </row>
    <row r="10" spans="1:10" x14ac:dyDescent="0.3">
      <c r="A10" s="21" t="s">
        <v>273</v>
      </c>
      <c r="B10" s="21">
        <v>595</v>
      </c>
      <c r="C10" s="21" t="s">
        <v>83</v>
      </c>
      <c r="D10" s="21" t="s">
        <v>56</v>
      </c>
      <c r="E10" s="21" t="str">
        <f>_xlfn.XLOOKUP(tbContratos[[#This Row],[EMPRESA]],tbFornecedores[FORNECEDOR],tbFornecedores[TIPO],"Não encontrado")</f>
        <v>INTERIORES</v>
      </c>
      <c r="F10" s="21" t="s">
        <v>21</v>
      </c>
      <c r="G10" s="23">
        <v>70000</v>
      </c>
      <c r="H10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14000</v>
      </c>
      <c r="I10" s="23">
        <f>tbContratos[[#This Row],[VALOR CONTRATO]]-tbContratos[[#This Row],[VALOR MEDIDO]]</f>
        <v>56000</v>
      </c>
      <c r="J10" s="27">
        <f>tbContratos[[#This Row],[VALOR MEDIDO]]/tbContratos[[#This Row],[VALOR CONTRATO]]</f>
        <v>0.2</v>
      </c>
    </row>
    <row r="11" spans="1:10" x14ac:dyDescent="0.3">
      <c r="A11" s="21" t="s">
        <v>274</v>
      </c>
      <c r="B11" s="21">
        <v>310</v>
      </c>
      <c r="C11" s="21" t="s">
        <v>84</v>
      </c>
      <c r="D11" s="21" t="s">
        <v>47</v>
      </c>
      <c r="E11" s="21" t="str">
        <f>_xlfn.XLOOKUP(tbContratos[[#This Row],[EMPRESA]],tbFornecedores[FORNECEDOR],tbFornecedores[TIPO],"Não encontrado")</f>
        <v>INTERIORES</v>
      </c>
      <c r="F11" s="21" t="s">
        <v>21</v>
      </c>
      <c r="G11" s="23">
        <v>39500</v>
      </c>
      <c r="H11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20699.999999999996</v>
      </c>
      <c r="I11" s="23">
        <f>tbContratos[[#This Row],[VALOR CONTRATO]]-tbContratos[[#This Row],[VALOR MEDIDO]]</f>
        <v>18800.000000000004</v>
      </c>
      <c r="J11" s="27">
        <f>tbContratos[[#This Row],[VALOR MEDIDO]]/tbContratos[[#This Row],[VALOR CONTRATO]]</f>
        <v>0.52405063291139231</v>
      </c>
    </row>
    <row r="12" spans="1:10" x14ac:dyDescent="0.3">
      <c r="A12" s="21" t="s">
        <v>275</v>
      </c>
      <c r="B12" s="21">
        <v>451</v>
      </c>
      <c r="C12" s="21" t="s">
        <v>85</v>
      </c>
      <c r="D12" s="21" t="s">
        <v>47</v>
      </c>
      <c r="E12" s="21" t="str">
        <f>_xlfn.XLOOKUP(tbContratos[[#This Row],[EMPRESA]],tbFornecedores[FORNECEDOR],tbFornecedores[TIPO],"Não encontrado")</f>
        <v>SONDAGEM</v>
      </c>
      <c r="F12" s="21" t="s">
        <v>23</v>
      </c>
      <c r="G12" s="23">
        <v>17500.650000000001</v>
      </c>
      <c r="H1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17500.650000000001</v>
      </c>
      <c r="I12" s="23">
        <f>tbContratos[[#This Row],[VALOR CONTRATO]]-tbContratos[[#This Row],[VALOR MEDIDO]]</f>
        <v>0</v>
      </c>
      <c r="J12" s="27">
        <f>tbContratos[[#This Row],[VALOR MEDIDO]]/tbContratos[[#This Row],[VALOR CONTRATO]]</f>
        <v>1</v>
      </c>
    </row>
    <row r="13" spans="1:10" x14ac:dyDescent="0.3">
      <c r="A13" s="21" t="s">
        <v>276</v>
      </c>
      <c r="B13" s="21">
        <v>596</v>
      </c>
      <c r="C13" s="21" t="s">
        <v>85</v>
      </c>
      <c r="D13" s="21" t="s">
        <v>56</v>
      </c>
      <c r="E13" s="21" t="str">
        <f>_xlfn.XLOOKUP(tbContratos[[#This Row],[EMPRESA]],tbFornecedores[FORNECEDOR],tbFornecedores[TIPO],"Não encontrado")</f>
        <v>SONDAGEM</v>
      </c>
      <c r="F13" s="21" t="s">
        <v>23</v>
      </c>
      <c r="G13" s="23">
        <v>25313.279999999999</v>
      </c>
      <c r="H1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25313.279999999999</v>
      </c>
      <c r="I13" s="23">
        <f>tbContratos[[#This Row],[VALOR CONTRATO]]-tbContratos[[#This Row],[VALOR MEDIDO]]</f>
        <v>0</v>
      </c>
      <c r="J13" s="27">
        <f>tbContratos[[#This Row],[VALOR MEDIDO]]/tbContratos[[#This Row],[VALOR CONTRATO]]</f>
        <v>1</v>
      </c>
    </row>
    <row r="14" spans="1:10" x14ac:dyDescent="0.3">
      <c r="A14" s="21" t="s">
        <v>277</v>
      </c>
      <c r="B14" s="21">
        <v>451</v>
      </c>
      <c r="C14" s="21" t="s">
        <v>85</v>
      </c>
      <c r="D14" s="21" t="s">
        <v>57</v>
      </c>
      <c r="E14" s="21" t="str">
        <f>_xlfn.XLOOKUP(tbContratos[[#This Row],[EMPRESA]],tbFornecedores[FORNECEDOR],tbFornecedores[TIPO],"Não encontrado")</f>
        <v>SONDAGEM</v>
      </c>
      <c r="F14" s="21" t="s">
        <v>23</v>
      </c>
      <c r="G14" s="23">
        <v>23556.1</v>
      </c>
      <c r="H1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23556.1</v>
      </c>
      <c r="I14" s="23">
        <f>tbContratos[[#This Row],[VALOR CONTRATO]]-tbContratos[[#This Row],[VALOR MEDIDO]]</f>
        <v>0</v>
      </c>
      <c r="J14" s="27">
        <f>tbContratos[[#This Row],[VALOR MEDIDO]]/tbContratos[[#This Row],[VALOR CONTRATO]]</f>
        <v>1</v>
      </c>
    </row>
    <row r="15" spans="1:10" x14ac:dyDescent="0.3">
      <c r="A15" s="21" t="s">
        <v>278</v>
      </c>
      <c r="B15" s="21">
        <v>476</v>
      </c>
      <c r="C15" s="21" t="s">
        <v>89</v>
      </c>
      <c r="D15" s="21" t="s">
        <v>47</v>
      </c>
      <c r="E15" s="21" t="str">
        <f>_xlfn.XLOOKUP(tbContratos[[#This Row],[EMPRESA]],tbFornecedores[FORNECEDOR],tbFornecedores[TIPO],"Não encontrado")</f>
        <v>SONDAGEM</v>
      </c>
      <c r="F15" s="21" t="s">
        <v>23</v>
      </c>
      <c r="G15" s="23">
        <v>1800</v>
      </c>
      <c r="H1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1800</v>
      </c>
      <c r="I15" s="23">
        <f>tbContratos[[#This Row],[VALOR CONTRATO]]-tbContratos[[#This Row],[VALOR MEDIDO]]</f>
        <v>0</v>
      </c>
      <c r="J15" s="27">
        <f>tbContratos[[#This Row],[VALOR MEDIDO]]/tbContratos[[#This Row],[VALOR CONTRATO]]</f>
        <v>1</v>
      </c>
    </row>
    <row r="16" spans="1:10" x14ac:dyDescent="0.3">
      <c r="A16" s="21" t="s">
        <v>279</v>
      </c>
      <c r="B16" s="21">
        <v>600</v>
      </c>
      <c r="C16" s="21" t="s">
        <v>89</v>
      </c>
      <c r="D16" s="21" t="s">
        <v>56</v>
      </c>
      <c r="E16" s="21" t="str">
        <f>_xlfn.XLOOKUP(tbContratos[[#This Row],[EMPRESA]],tbFornecedores[FORNECEDOR],tbFornecedores[TIPO],"Não encontrado")</f>
        <v>SONDAGEM</v>
      </c>
      <c r="F16" s="21" t="s">
        <v>23</v>
      </c>
      <c r="G16" s="23">
        <v>3600</v>
      </c>
      <c r="H1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3600</v>
      </c>
      <c r="I16" s="23">
        <f>tbContratos[[#This Row],[VALOR CONTRATO]]-tbContratos[[#This Row],[VALOR MEDIDO]]</f>
        <v>0</v>
      </c>
      <c r="J16" s="27">
        <f>tbContratos[[#This Row],[VALOR MEDIDO]]/tbContratos[[#This Row],[VALOR CONTRATO]]</f>
        <v>1</v>
      </c>
    </row>
    <row r="17" spans="1:10" x14ac:dyDescent="0.3">
      <c r="A17" s="21" t="s">
        <v>280</v>
      </c>
      <c r="B17" s="21">
        <v>475</v>
      </c>
      <c r="C17" s="21" t="s">
        <v>90</v>
      </c>
      <c r="D17" s="21" t="s">
        <v>47</v>
      </c>
      <c r="E17" s="21" t="str">
        <f>_xlfn.XLOOKUP(tbContratos[[#This Row],[EMPRESA]],tbFornecedores[FORNECEDOR],tbFornecedores[TIPO],"Não encontrado")</f>
        <v>SONDAGEM</v>
      </c>
      <c r="F17" s="21" t="s">
        <v>23</v>
      </c>
      <c r="G17" s="23">
        <v>2580</v>
      </c>
      <c r="H17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2580</v>
      </c>
      <c r="I17" s="23">
        <f>tbContratos[[#This Row],[VALOR CONTRATO]]-tbContratos[[#This Row],[VALOR MEDIDO]]</f>
        <v>0</v>
      </c>
      <c r="J17" s="27">
        <f>tbContratos[[#This Row],[VALOR MEDIDO]]/tbContratos[[#This Row],[VALOR CONTRATO]]</f>
        <v>1</v>
      </c>
    </row>
    <row r="18" spans="1:10" x14ac:dyDescent="0.3">
      <c r="A18" s="21" t="s">
        <v>281</v>
      </c>
      <c r="B18" s="21">
        <v>599</v>
      </c>
      <c r="C18" s="21" t="s">
        <v>90</v>
      </c>
      <c r="D18" s="21" t="s">
        <v>56</v>
      </c>
      <c r="E18" s="21" t="str">
        <f>_xlfn.XLOOKUP(tbContratos[[#This Row],[EMPRESA]],tbFornecedores[FORNECEDOR],tbFornecedores[TIPO],"Não encontrado")</f>
        <v>SONDAGEM</v>
      </c>
      <c r="F18" s="21" t="s">
        <v>23</v>
      </c>
      <c r="G18" s="23">
        <v>3640</v>
      </c>
      <c r="H18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3640</v>
      </c>
      <c r="I18" s="23">
        <f>tbContratos[[#This Row],[VALOR CONTRATO]]-tbContratos[[#This Row],[VALOR MEDIDO]]</f>
        <v>0</v>
      </c>
      <c r="J18" s="27">
        <f>tbContratos[[#This Row],[VALOR MEDIDO]]/tbContratos[[#This Row],[VALOR CONTRATO]]</f>
        <v>1</v>
      </c>
    </row>
    <row r="19" spans="1:10" x14ac:dyDescent="0.3">
      <c r="A19" s="21" t="s">
        <v>282</v>
      </c>
      <c r="B19" s="21"/>
      <c r="C19" s="21" t="s">
        <v>98</v>
      </c>
      <c r="D19" s="21" t="s">
        <v>47</v>
      </c>
      <c r="E19" s="21" t="str">
        <f>_xlfn.XLOOKUP(tbContratos[[#This Row],[EMPRESA]],tbFornecedores[FORNECEDOR],tbFornecedores[TIPO],"Não encontrado")</f>
        <v>PLANIALTIMÉTRICO</v>
      </c>
      <c r="F19" s="21" t="s">
        <v>29</v>
      </c>
      <c r="G19" s="23">
        <v>4550</v>
      </c>
      <c r="H19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4550</v>
      </c>
      <c r="I19" s="23">
        <f>tbContratos[[#This Row],[VALOR CONTRATO]]-tbContratos[[#This Row],[VALOR MEDIDO]]</f>
        <v>0</v>
      </c>
      <c r="J19" s="27">
        <f>tbContratos[[#This Row],[VALOR MEDIDO]]/tbContratos[[#This Row],[VALOR CONTRATO]]</f>
        <v>1</v>
      </c>
    </row>
    <row r="20" spans="1:10" x14ac:dyDescent="0.3">
      <c r="A20" s="21" t="s">
        <v>283</v>
      </c>
      <c r="B20" s="21">
        <v>348</v>
      </c>
      <c r="C20" s="21" t="s">
        <v>99</v>
      </c>
      <c r="D20" s="21" t="s">
        <v>56</v>
      </c>
      <c r="E20" s="21" t="str">
        <f>_xlfn.XLOOKUP(tbContratos[[#This Row],[EMPRESA]],tbFornecedores[FORNECEDOR],tbFornecedores[TIPO],"Não encontrado")</f>
        <v>PLANIALTIMÉTRICO</v>
      </c>
      <c r="F20" s="21" t="s">
        <v>29</v>
      </c>
      <c r="G20" s="23">
        <v>2850</v>
      </c>
      <c r="H20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2850</v>
      </c>
      <c r="I20" s="23">
        <f>tbContratos[[#This Row],[VALOR CONTRATO]]-tbContratos[[#This Row],[VALOR MEDIDO]]</f>
        <v>0</v>
      </c>
      <c r="J20" s="27">
        <f>tbContratos[[#This Row],[VALOR MEDIDO]]/tbContratos[[#This Row],[VALOR CONTRATO]]</f>
        <v>1</v>
      </c>
    </row>
    <row r="21" spans="1:10" x14ac:dyDescent="0.3">
      <c r="A21" s="21" t="s">
        <v>284</v>
      </c>
      <c r="B21" s="21">
        <v>348</v>
      </c>
      <c r="C21" s="21" t="s">
        <v>99</v>
      </c>
      <c r="D21" s="21" t="s">
        <v>57</v>
      </c>
      <c r="E21" s="21" t="str">
        <f>_xlfn.XLOOKUP(tbContratos[[#This Row],[EMPRESA]],tbFornecedores[FORNECEDOR],tbFornecedores[TIPO],"Não encontrado")</f>
        <v>PLANIALTIMÉTRICO</v>
      </c>
      <c r="F21" s="21" t="s">
        <v>29</v>
      </c>
      <c r="G21" s="23">
        <v>1300</v>
      </c>
      <c r="H21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1300</v>
      </c>
      <c r="I21" s="23">
        <f>tbContratos[[#This Row],[VALOR CONTRATO]]-tbContratos[[#This Row],[VALOR MEDIDO]]</f>
        <v>0</v>
      </c>
      <c r="J21" s="27">
        <f>tbContratos[[#This Row],[VALOR MEDIDO]]/tbContratos[[#This Row],[VALOR CONTRATO]]</f>
        <v>1</v>
      </c>
    </row>
    <row r="22" spans="1:10" x14ac:dyDescent="0.3">
      <c r="A22" s="21" t="s">
        <v>285</v>
      </c>
      <c r="B22" s="21">
        <v>348</v>
      </c>
      <c r="C22" s="21" t="s">
        <v>99</v>
      </c>
      <c r="D22" s="21" t="s">
        <v>59</v>
      </c>
      <c r="E22" s="21" t="str">
        <f>_xlfn.XLOOKUP(tbContratos[[#This Row],[EMPRESA]],tbFornecedores[FORNECEDOR],tbFornecedores[TIPO],"Não encontrado")</f>
        <v>PLANIALTIMÉTRICO</v>
      </c>
      <c r="F22" s="21" t="s">
        <v>29</v>
      </c>
      <c r="G22" s="23">
        <v>1100</v>
      </c>
      <c r="H2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1100</v>
      </c>
      <c r="I22" s="23">
        <f>tbContratos[[#This Row],[VALOR CONTRATO]]-tbContratos[[#This Row],[VALOR MEDIDO]]</f>
        <v>0</v>
      </c>
      <c r="J22" s="27">
        <f>tbContratos[[#This Row],[VALOR MEDIDO]]/tbContratos[[#This Row],[VALOR CONTRATO]]</f>
        <v>1</v>
      </c>
    </row>
    <row r="23" spans="1:10" x14ac:dyDescent="0.3">
      <c r="A23" s="21" t="s">
        <v>286</v>
      </c>
      <c r="B23" s="21">
        <v>348</v>
      </c>
      <c r="C23" s="21" t="s">
        <v>99</v>
      </c>
      <c r="D23" s="21" t="s">
        <v>61</v>
      </c>
      <c r="E23" s="21" t="str">
        <f>_xlfn.XLOOKUP(tbContratos[[#This Row],[EMPRESA]],tbFornecedores[FORNECEDOR],tbFornecedores[TIPO],"Não encontrado")</f>
        <v>PLANIALTIMÉTRICO</v>
      </c>
      <c r="F23" s="21" t="s">
        <v>29</v>
      </c>
      <c r="G23" s="23">
        <v>2635</v>
      </c>
      <c r="H2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23" s="23">
        <f>tbContratos[[#This Row],[VALOR CONTRATO]]-tbContratos[[#This Row],[VALOR MEDIDO]]</f>
        <v>2635</v>
      </c>
      <c r="J23" s="27">
        <f>tbContratos[[#This Row],[VALOR MEDIDO]]/tbContratos[[#This Row],[VALOR CONTRATO]]</f>
        <v>0</v>
      </c>
    </row>
    <row r="24" spans="1:10" x14ac:dyDescent="0.3">
      <c r="A24" s="21" t="s">
        <v>287</v>
      </c>
      <c r="B24" s="21">
        <v>348</v>
      </c>
      <c r="C24" s="21" t="s">
        <v>99</v>
      </c>
      <c r="D24" s="21" t="s">
        <v>60</v>
      </c>
      <c r="E24" s="21" t="str">
        <f>_xlfn.XLOOKUP(tbContratos[[#This Row],[EMPRESA]],tbFornecedores[FORNECEDOR],tbFornecedores[TIPO],"Não encontrado")</f>
        <v>PLANIALTIMÉTRICO</v>
      </c>
      <c r="F24" s="21" t="s">
        <v>29</v>
      </c>
      <c r="G24" s="23">
        <v>1800</v>
      </c>
      <c r="H2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24" s="23">
        <f>tbContratos[[#This Row],[VALOR CONTRATO]]-tbContratos[[#This Row],[VALOR MEDIDO]]</f>
        <v>1800</v>
      </c>
      <c r="J24" s="27">
        <f>tbContratos[[#This Row],[VALOR MEDIDO]]/tbContratos[[#This Row],[VALOR CONTRATO]]</f>
        <v>0</v>
      </c>
    </row>
    <row r="25" spans="1:10" x14ac:dyDescent="0.3">
      <c r="A25" s="21" t="s">
        <v>288</v>
      </c>
      <c r="B25" s="21">
        <v>344</v>
      </c>
      <c r="C25" s="21" t="s">
        <v>93</v>
      </c>
      <c r="D25" s="21" t="s">
        <v>59</v>
      </c>
      <c r="E25" s="21" t="str">
        <f>_xlfn.XLOOKUP(tbContratos[[#This Row],[EMPRESA]],tbFornecedores[FORNECEDOR],tbFornecedores[TIPO],"Não encontrado")</f>
        <v>ARQUITETURA</v>
      </c>
      <c r="F25" s="21" t="s">
        <v>113</v>
      </c>
      <c r="G25" s="23">
        <v>40000</v>
      </c>
      <c r="H2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20000</v>
      </c>
      <c r="I25" s="23">
        <f>tbContratos[[#This Row],[VALOR CONTRATO]]-tbContratos[[#This Row],[VALOR MEDIDO]]</f>
        <v>20000</v>
      </c>
      <c r="J25" s="27">
        <f>tbContratos[[#This Row],[VALOR MEDIDO]]/tbContratos[[#This Row],[VALOR CONTRATO]]</f>
        <v>0.5</v>
      </c>
    </row>
    <row r="26" spans="1:10" x14ac:dyDescent="0.3">
      <c r="A26" s="21" t="s">
        <v>289</v>
      </c>
      <c r="B26" s="21">
        <v>296</v>
      </c>
      <c r="C26" s="21" t="s">
        <v>87</v>
      </c>
      <c r="D26" s="21" t="s">
        <v>59</v>
      </c>
      <c r="E26" s="21" t="str">
        <f>_xlfn.XLOOKUP(tbContratos[[#This Row],[EMPRESA]],tbFornecedores[FORNECEDOR],tbFornecedores[TIPO],"Não encontrado")</f>
        <v>ESTRUTURA</v>
      </c>
      <c r="F26" s="21" t="s">
        <v>115</v>
      </c>
      <c r="G26" s="23">
        <v>13000</v>
      </c>
      <c r="H2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6500</v>
      </c>
      <c r="I26" s="23">
        <f>tbContratos[[#This Row],[VALOR CONTRATO]]-tbContratos[[#This Row],[VALOR MEDIDO]]</f>
        <v>6500</v>
      </c>
      <c r="J26" s="27">
        <f>tbContratos[[#This Row],[VALOR MEDIDO]]/tbContratos[[#This Row],[VALOR CONTRATO]]</f>
        <v>0.5</v>
      </c>
    </row>
    <row r="27" spans="1:10" x14ac:dyDescent="0.3">
      <c r="A27" s="21" t="s">
        <v>290</v>
      </c>
      <c r="B27" s="21">
        <v>349</v>
      </c>
      <c r="C27" s="21" t="s">
        <v>86</v>
      </c>
      <c r="D27" s="21" t="s">
        <v>47</v>
      </c>
      <c r="E27" s="21" t="str">
        <f>_xlfn.XLOOKUP(tbContratos[[#This Row],[EMPRESA]],tbFornecedores[FORNECEDOR],tbFornecedores[TIPO],"Não encontrado")</f>
        <v>FUNDAÇÃO</v>
      </c>
      <c r="F27" s="21" t="s">
        <v>119</v>
      </c>
      <c r="G27" s="23">
        <v>25000</v>
      </c>
      <c r="H27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27" s="23">
        <f>tbContratos[[#This Row],[VALOR CONTRATO]]-tbContratos[[#This Row],[VALOR MEDIDO]]</f>
        <v>25000</v>
      </c>
      <c r="J27" s="27">
        <f>tbContratos[[#This Row],[VALOR MEDIDO]]/tbContratos[[#This Row],[VALOR CONTRATO]]</f>
        <v>0</v>
      </c>
    </row>
    <row r="28" spans="1:10" x14ac:dyDescent="0.3">
      <c r="A28" s="21" t="s">
        <v>291</v>
      </c>
      <c r="B28" s="21"/>
      <c r="C28" s="21" t="s">
        <v>86</v>
      </c>
      <c r="D28" s="21" t="s">
        <v>56</v>
      </c>
      <c r="E28" s="21" t="str">
        <f>_xlfn.XLOOKUP(tbContratos[[#This Row],[EMPRESA]],tbFornecedores[FORNECEDOR],tbFornecedores[TIPO],"Não encontrado")</f>
        <v>FUNDAÇÃO</v>
      </c>
      <c r="F28" s="21" t="s">
        <v>119</v>
      </c>
      <c r="G28" s="23">
        <v>12000</v>
      </c>
      <c r="H28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28" s="23">
        <f>tbContratos[[#This Row],[VALOR CONTRATO]]-tbContratos[[#This Row],[VALOR MEDIDO]]</f>
        <v>12000</v>
      </c>
      <c r="J28" s="27">
        <f>tbContratos[[#This Row],[VALOR MEDIDO]]/tbContratos[[#This Row],[VALOR CONTRATO]]</f>
        <v>0</v>
      </c>
    </row>
    <row r="29" spans="1:10" x14ac:dyDescent="0.3">
      <c r="A29" s="21" t="s">
        <v>292</v>
      </c>
      <c r="B29" s="21">
        <v>349</v>
      </c>
      <c r="C29" s="21" t="s">
        <v>86</v>
      </c>
      <c r="D29" s="21" t="s">
        <v>57</v>
      </c>
      <c r="E29" s="21" t="str">
        <f>_xlfn.XLOOKUP(tbContratos[[#This Row],[EMPRESA]],tbFornecedores[FORNECEDOR],tbFornecedores[TIPO],"Não encontrado")</f>
        <v>FUNDAÇÃO</v>
      </c>
      <c r="F29" s="21" t="s">
        <v>119</v>
      </c>
      <c r="G29" s="23">
        <v>30000</v>
      </c>
      <c r="H29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29" s="23">
        <f>tbContratos[[#This Row],[VALOR CONTRATO]]-tbContratos[[#This Row],[VALOR MEDIDO]]</f>
        <v>30000</v>
      </c>
      <c r="J29" s="27">
        <f>tbContratos[[#This Row],[VALOR MEDIDO]]/tbContratos[[#This Row],[VALOR CONTRATO]]</f>
        <v>0</v>
      </c>
    </row>
    <row r="30" spans="1:10" x14ac:dyDescent="0.3">
      <c r="A30" s="21" t="s">
        <v>293</v>
      </c>
      <c r="B30" s="21">
        <v>349</v>
      </c>
      <c r="C30" s="21" t="s">
        <v>86</v>
      </c>
      <c r="D30" s="21" t="s">
        <v>59</v>
      </c>
      <c r="E30" s="21" t="str">
        <f>_xlfn.XLOOKUP(tbContratos[[#This Row],[EMPRESA]],tbFornecedores[FORNECEDOR],tbFornecedores[TIPO],"Não encontrado")</f>
        <v>FUNDAÇÃO</v>
      </c>
      <c r="F30" s="21" t="s">
        <v>119</v>
      </c>
      <c r="G30" s="23">
        <v>10000</v>
      </c>
      <c r="H30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30" s="23">
        <f>tbContratos[[#This Row],[VALOR CONTRATO]]-tbContratos[[#This Row],[VALOR MEDIDO]]</f>
        <v>10000</v>
      </c>
      <c r="J30" s="27">
        <f>tbContratos[[#This Row],[VALOR MEDIDO]]/tbContratos[[#This Row],[VALOR CONTRATO]]</f>
        <v>0</v>
      </c>
    </row>
    <row r="31" spans="1:10" x14ac:dyDescent="0.3">
      <c r="A31" s="21" t="s">
        <v>294</v>
      </c>
      <c r="B31" s="21">
        <v>265</v>
      </c>
      <c r="C31" s="21" t="s">
        <v>82</v>
      </c>
      <c r="D31" s="21" t="s">
        <v>47</v>
      </c>
      <c r="E31" s="21" t="str">
        <f>_xlfn.XLOOKUP(tbContratos[[#This Row],[EMPRESA]],tbFornecedores[FORNECEDOR],tbFornecedores[TIPO],"Não encontrado")</f>
        <v>ORÇAMENTO</v>
      </c>
      <c r="F31" s="21" t="s">
        <v>323</v>
      </c>
      <c r="G31" s="23">
        <v>9000</v>
      </c>
      <c r="H31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9000</v>
      </c>
      <c r="I31" s="23">
        <f>tbContratos[[#This Row],[VALOR CONTRATO]]-tbContratos[[#This Row],[VALOR MEDIDO]]</f>
        <v>0</v>
      </c>
      <c r="J31" s="27">
        <f>tbContratos[[#This Row],[VALOR MEDIDO]]/tbContratos[[#This Row],[VALOR CONTRATO]]</f>
        <v>1</v>
      </c>
    </row>
    <row r="32" spans="1:10" x14ac:dyDescent="0.3">
      <c r="A32" s="21" t="s">
        <v>295</v>
      </c>
      <c r="B32" s="21"/>
      <c r="C32" s="21" t="s">
        <v>82</v>
      </c>
      <c r="D32" s="21" t="s">
        <v>56</v>
      </c>
      <c r="E32" s="21" t="str">
        <f>_xlfn.XLOOKUP(tbContratos[[#This Row],[EMPRESA]],tbFornecedores[FORNECEDOR],tbFornecedores[TIPO],"Não encontrado")</f>
        <v>ORÇAMENTO</v>
      </c>
      <c r="F32" s="21" t="s">
        <v>323</v>
      </c>
      <c r="G32" s="23">
        <v>6248.3099999999995</v>
      </c>
      <c r="H3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1874.4929999999997</v>
      </c>
      <c r="I32" s="23">
        <f>tbContratos[[#This Row],[VALOR CONTRATO]]-tbContratos[[#This Row],[VALOR MEDIDO]]</f>
        <v>4373.817</v>
      </c>
      <c r="J32" s="27">
        <f>tbContratos[[#This Row],[VALOR MEDIDO]]/tbContratos[[#This Row],[VALOR CONTRATO]]</f>
        <v>0.3</v>
      </c>
    </row>
    <row r="33" spans="1:10" x14ac:dyDescent="0.3">
      <c r="A33" s="21" t="s">
        <v>296</v>
      </c>
      <c r="B33" s="21">
        <v>434</v>
      </c>
      <c r="C33" s="21" t="s">
        <v>82</v>
      </c>
      <c r="D33" s="21" t="s">
        <v>57</v>
      </c>
      <c r="E33" s="21" t="str">
        <f>_xlfn.XLOOKUP(tbContratos[[#This Row],[EMPRESA]],tbFornecedores[FORNECEDOR],tbFornecedores[TIPO],"Não encontrado")</f>
        <v>ORÇAMENTO</v>
      </c>
      <c r="F33" s="21" t="s">
        <v>323</v>
      </c>
      <c r="G33" s="23">
        <v>12429.45</v>
      </c>
      <c r="H3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3728.835</v>
      </c>
      <c r="I33" s="23">
        <f>tbContratos[[#This Row],[VALOR CONTRATO]]-tbContratos[[#This Row],[VALOR MEDIDO]]</f>
        <v>8700.6150000000016</v>
      </c>
      <c r="J33" s="27">
        <f>tbContratos[[#This Row],[VALOR MEDIDO]]/tbContratos[[#This Row],[VALOR CONTRATO]]</f>
        <v>0.3</v>
      </c>
    </row>
    <row r="34" spans="1:10" x14ac:dyDescent="0.3">
      <c r="A34" s="21" t="s">
        <v>297</v>
      </c>
      <c r="B34" s="21">
        <v>434</v>
      </c>
      <c r="C34" s="21" t="s">
        <v>82</v>
      </c>
      <c r="D34" s="21" t="s">
        <v>58</v>
      </c>
      <c r="E34" s="21" t="str">
        <f>_xlfn.XLOOKUP(tbContratos[[#This Row],[EMPRESA]],tbFornecedores[FORNECEDOR],tbFornecedores[TIPO],"Não encontrado")</f>
        <v>ORÇAMENTO</v>
      </c>
      <c r="F34" s="21" t="s">
        <v>323</v>
      </c>
      <c r="G34" s="23">
        <v>8067.11</v>
      </c>
      <c r="H3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2420.1329999999998</v>
      </c>
      <c r="I34" s="23">
        <f>tbContratos[[#This Row],[VALOR CONTRATO]]-tbContratos[[#This Row],[VALOR MEDIDO]]</f>
        <v>5646.9769999999999</v>
      </c>
      <c r="J34" s="27">
        <f>tbContratos[[#This Row],[VALOR MEDIDO]]/tbContratos[[#This Row],[VALOR CONTRATO]]</f>
        <v>0.3</v>
      </c>
    </row>
    <row r="35" spans="1:10" x14ac:dyDescent="0.3">
      <c r="A35" s="21" t="s">
        <v>353</v>
      </c>
      <c r="B35" s="21">
        <v>434</v>
      </c>
      <c r="C35" s="21" t="s">
        <v>82</v>
      </c>
      <c r="D35" s="21" t="s">
        <v>59</v>
      </c>
      <c r="E35" s="21" t="str">
        <f>_xlfn.XLOOKUP(tbContratos[[#This Row],[EMPRESA]],tbFornecedores[FORNECEDOR],tbFornecedores[TIPO],"Não encontrado")</f>
        <v>ORÇAMENTO</v>
      </c>
      <c r="F35" s="21" t="s">
        <v>323</v>
      </c>
      <c r="G35" s="23">
        <v>8255.1400000000012</v>
      </c>
      <c r="H3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2476.5420000000004</v>
      </c>
      <c r="I35" s="23">
        <f>tbContratos[[#This Row],[VALOR CONTRATO]]-tbContratos[[#This Row],[VALOR MEDIDO]]</f>
        <v>5778.5980000000009</v>
      </c>
      <c r="J35" s="27">
        <f>tbContratos[[#This Row],[VALOR MEDIDO]]/tbContratos[[#This Row],[VALOR CONTRATO]]</f>
        <v>0.3</v>
      </c>
    </row>
    <row r="36" spans="1:10" x14ac:dyDescent="0.3">
      <c r="A36" s="21" t="s">
        <v>354</v>
      </c>
      <c r="B36" s="21">
        <v>345</v>
      </c>
      <c r="C36" s="21" t="s">
        <v>34</v>
      </c>
      <c r="D36" s="21" t="s">
        <v>47</v>
      </c>
      <c r="E36" s="21" t="str">
        <f>_xlfn.XLOOKUP(tbContratos[[#This Row],[EMPRESA]],tbFornecedores[FORNECEDOR],tbFornecedores[TIPO],"Não encontrado")</f>
        <v>COMPLEMENTARES</v>
      </c>
      <c r="F36" s="21" t="s">
        <v>35</v>
      </c>
      <c r="G36" s="23">
        <v>150000</v>
      </c>
      <c r="H3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67000</v>
      </c>
      <c r="I36" s="23">
        <f>tbContratos[[#This Row],[VALOR CONTRATO]]-tbContratos[[#This Row],[VALOR MEDIDO]]</f>
        <v>83000</v>
      </c>
      <c r="J36" s="27">
        <f>tbContratos[[#This Row],[VALOR MEDIDO]]/tbContratos[[#This Row],[VALOR CONTRATO]]</f>
        <v>0.44666666666666666</v>
      </c>
    </row>
    <row r="37" spans="1:10" x14ac:dyDescent="0.3">
      <c r="A37" s="21" t="s">
        <v>355</v>
      </c>
      <c r="B37" s="21">
        <v>346</v>
      </c>
      <c r="C37" s="21" t="s">
        <v>34</v>
      </c>
      <c r="D37" s="21" t="s">
        <v>59</v>
      </c>
      <c r="E37" s="21" t="str">
        <f>_xlfn.XLOOKUP(tbContratos[[#This Row],[EMPRESA]],tbFornecedores[FORNECEDOR],tbFornecedores[TIPO],"Não encontrado")</f>
        <v>COMPLEMENTARES</v>
      </c>
      <c r="F37" s="21" t="s">
        <v>35</v>
      </c>
      <c r="G37" s="22">
        <v>65450</v>
      </c>
      <c r="H37" s="22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33180</v>
      </c>
      <c r="I37" s="22">
        <f>tbContratos[[#This Row],[VALOR CONTRATO]]-tbContratos[[#This Row],[VALOR MEDIDO]]</f>
        <v>32270</v>
      </c>
      <c r="J37" s="27">
        <f>tbContratos[[#This Row],[VALOR MEDIDO]]/tbContratos[[#This Row],[VALOR CONTRATO]]</f>
        <v>0.50695187165775402</v>
      </c>
    </row>
    <row r="38" spans="1:10" x14ac:dyDescent="0.3">
      <c r="A38" s="21" t="s">
        <v>356</v>
      </c>
      <c r="B38" s="21">
        <v>347</v>
      </c>
      <c r="C38" s="21" t="s">
        <v>34</v>
      </c>
      <c r="D38" s="21" t="s">
        <v>55</v>
      </c>
      <c r="E38" s="21" t="str">
        <f>_xlfn.XLOOKUP(tbContratos[[#This Row],[EMPRESA]],tbFornecedores[FORNECEDOR],tbFornecedores[TIPO],"Não encontrado")</f>
        <v>COMPLEMENTARES</v>
      </c>
      <c r="F38" s="21" t="s">
        <v>35</v>
      </c>
      <c r="G38" s="23">
        <v>20000</v>
      </c>
      <c r="H38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12000</v>
      </c>
      <c r="I38" s="23">
        <f>tbContratos[[#This Row],[VALOR CONTRATO]]-tbContratos[[#This Row],[VALOR MEDIDO]]</f>
        <v>8000</v>
      </c>
      <c r="J38" s="27">
        <f>tbContratos[[#This Row],[VALOR MEDIDO]]/tbContratos[[#This Row],[VALOR CONTRATO]]</f>
        <v>0.6</v>
      </c>
    </row>
    <row r="39" spans="1:10" x14ac:dyDescent="0.3">
      <c r="A39" s="21" t="s">
        <v>357</v>
      </c>
      <c r="B39" s="21">
        <v>488</v>
      </c>
      <c r="C39" s="21" t="s">
        <v>81</v>
      </c>
      <c r="D39" s="21" t="s">
        <v>57</v>
      </c>
      <c r="E39" s="21" t="str">
        <f>_xlfn.XLOOKUP(tbContratos[[#This Row],[EMPRESA]],tbFornecedores[FORNECEDOR],tbFornecedores[TIPO],"Não encontrado")</f>
        <v>COMPLEMENTARES</v>
      </c>
      <c r="F39" s="21" t="s">
        <v>35</v>
      </c>
      <c r="G39" s="23">
        <v>179500</v>
      </c>
      <c r="H39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53850</v>
      </c>
      <c r="I39" s="23">
        <f>tbContratos[[#This Row],[VALOR CONTRATO]]-tbContratos[[#This Row],[VALOR MEDIDO]]</f>
        <v>125650</v>
      </c>
      <c r="J39" s="27">
        <f>tbContratos[[#This Row],[VALOR MEDIDO]]/tbContratos[[#This Row],[VALOR CONTRATO]]</f>
        <v>0.3</v>
      </c>
    </row>
    <row r="40" spans="1:10" x14ac:dyDescent="0.3">
      <c r="A40" s="21" t="s">
        <v>358</v>
      </c>
      <c r="B40" s="21">
        <v>528</v>
      </c>
      <c r="C40" s="21" t="s">
        <v>81</v>
      </c>
      <c r="D40" s="21" t="s">
        <v>47</v>
      </c>
      <c r="E40" s="21" t="str">
        <f>_xlfn.XLOOKUP(tbContratos[[#This Row],[EMPRESA]],tbFornecedores[FORNECEDOR],tbFornecedores[TIPO],"Não encontrado")</f>
        <v>COMPLEMENTARES</v>
      </c>
      <c r="F40" s="21" t="s">
        <v>35</v>
      </c>
      <c r="G40" s="23">
        <v>140000</v>
      </c>
      <c r="H40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42000</v>
      </c>
      <c r="I40" s="23">
        <f>tbContratos[[#This Row],[VALOR CONTRATO]]-tbContratos[[#This Row],[VALOR MEDIDO]]</f>
        <v>98000</v>
      </c>
      <c r="J40" s="27">
        <f>tbContratos[[#This Row],[VALOR MEDIDO]]/tbContratos[[#This Row],[VALOR CONTRATO]]</f>
        <v>0.3</v>
      </c>
    </row>
    <row r="41" spans="1:10" x14ac:dyDescent="0.3">
      <c r="A41" s="21" t="s">
        <v>359</v>
      </c>
      <c r="B41" s="21">
        <v>598</v>
      </c>
      <c r="C41" s="21" t="s">
        <v>81</v>
      </c>
      <c r="D41" s="21" t="s">
        <v>56</v>
      </c>
      <c r="E41" s="21" t="str">
        <f>_xlfn.XLOOKUP(tbContratos[[#This Row],[EMPRESA]],tbFornecedores[FORNECEDOR],tbFornecedores[TIPO],"Não encontrado")</f>
        <v>COMPLEMENTARES</v>
      </c>
      <c r="F41" s="21" t="s">
        <v>35</v>
      </c>
      <c r="G41" s="23">
        <v>129800</v>
      </c>
      <c r="H41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38940</v>
      </c>
      <c r="I41" s="23">
        <f>tbContratos[[#This Row],[VALOR CONTRATO]]-tbContratos[[#This Row],[VALOR MEDIDO]]</f>
        <v>90860</v>
      </c>
      <c r="J41" s="27">
        <f>tbContratos[[#This Row],[VALOR MEDIDO]]/tbContratos[[#This Row],[VALOR CONTRATO]]</f>
        <v>0.3</v>
      </c>
    </row>
    <row r="42" spans="1:10" x14ac:dyDescent="0.3">
      <c r="A42" s="21" t="s">
        <v>360</v>
      </c>
      <c r="B42" s="21">
        <v>505</v>
      </c>
      <c r="C42" s="21" t="s">
        <v>81</v>
      </c>
      <c r="D42" s="21" t="s">
        <v>59</v>
      </c>
      <c r="E42" s="21" t="str">
        <f>_xlfn.XLOOKUP(tbContratos[[#This Row],[EMPRESA]],tbFornecedores[FORNECEDOR],tbFornecedores[TIPO],"Não encontrado")</f>
        <v>COMPLEMENTARES</v>
      </c>
      <c r="F42" s="21" t="s">
        <v>35</v>
      </c>
      <c r="G42" s="23">
        <v>85900</v>
      </c>
      <c r="H4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25770</v>
      </c>
      <c r="I42" s="23">
        <f>tbContratos[[#This Row],[VALOR CONTRATO]]-tbContratos[[#This Row],[VALOR MEDIDO]]</f>
        <v>60130</v>
      </c>
      <c r="J42" s="27">
        <f>tbContratos[[#This Row],[VALOR MEDIDO]]/tbContratos[[#This Row],[VALOR CONTRATO]]</f>
        <v>0.3</v>
      </c>
    </row>
    <row r="43" spans="1:10" x14ac:dyDescent="0.3">
      <c r="A43" s="21" t="s">
        <v>361</v>
      </c>
      <c r="B43" s="21">
        <v>608</v>
      </c>
      <c r="C43" s="21" t="s">
        <v>81</v>
      </c>
      <c r="D43" s="21" t="s">
        <v>55</v>
      </c>
      <c r="E43" s="21" t="str">
        <f>_xlfn.XLOOKUP(tbContratos[[#This Row],[EMPRESA]],tbFornecedores[FORNECEDOR],tbFornecedores[TIPO],"Não encontrado")</f>
        <v>COMPLEMENTARES</v>
      </c>
      <c r="F43" s="21" t="s">
        <v>35</v>
      </c>
      <c r="G43" s="23">
        <v>35800</v>
      </c>
      <c r="H4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15800</v>
      </c>
      <c r="I43" s="23">
        <f>tbContratos[[#This Row],[VALOR CONTRATO]]-tbContratos[[#This Row],[VALOR MEDIDO]]</f>
        <v>20000</v>
      </c>
      <c r="J43" s="27">
        <f>tbContratos[[#This Row],[VALOR MEDIDO]]/tbContratos[[#This Row],[VALOR CONTRATO]]</f>
        <v>0.44134078212290501</v>
      </c>
    </row>
    <row r="44" spans="1:10" x14ac:dyDescent="0.3">
      <c r="A44" s="21" t="s">
        <v>362</v>
      </c>
      <c r="B44" s="21">
        <v>431</v>
      </c>
      <c r="C44" s="21" t="s">
        <v>88</v>
      </c>
      <c r="D44" s="21" t="s">
        <v>47</v>
      </c>
      <c r="E44" s="21" t="str">
        <f>_xlfn.XLOOKUP(tbContratos[[#This Row],[EMPRESA]],tbFornecedores[FORNECEDOR],tbFornecedores[TIPO],"Não encontrado")</f>
        <v>DESEMPENHO</v>
      </c>
      <c r="F44" s="21" t="s">
        <v>39</v>
      </c>
      <c r="G44" s="23">
        <v>5000</v>
      </c>
      <c r="H4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44" s="23">
        <f>tbContratos[[#This Row],[VALOR CONTRATO]]-tbContratos[[#This Row],[VALOR MEDIDO]]</f>
        <v>5000</v>
      </c>
      <c r="J44" s="27">
        <f>tbContratos[[#This Row],[VALOR MEDIDO]]/tbContratos[[#This Row],[VALOR CONTRATO]]</f>
        <v>0</v>
      </c>
    </row>
    <row r="45" spans="1:10" x14ac:dyDescent="0.3">
      <c r="A45" s="21" t="s">
        <v>363</v>
      </c>
      <c r="B45" s="21"/>
      <c r="C45" s="21" t="s">
        <v>88</v>
      </c>
      <c r="D45" s="21" t="s">
        <v>56</v>
      </c>
      <c r="E45" s="21" t="str">
        <f>_xlfn.XLOOKUP(tbContratos[[#This Row],[EMPRESA]],tbFornecedores[FORNECEDOR],tbFornecedores[TIPO],"Não encontrado")</f>
        <v>DESEMPENHO</v>
      </c>
      <c r="F45" s="21" t="s">
        <v>39</v>
      </c>
      <c r="G45" s="23">
        <v>5000</v>
      </c>
      <c r="H4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45" s="23">
        <f>tbContratos[[#This Row],[VALOR CONTRATO]]-tbContratos[[#This Row],[VALOR MEDIDO]]</f>
        <v>5000</v>
      </c>
      <c r="J45" s="27">
        <f>tbContratos[[#This Row],[VALOR MEDIDO]]/tbContratos[[#This Row],[VALOR CONTRATO]]</f>
        <v>0</v>
      </c>
    </row>
    <row r="46" spans="1:10" x14ac:dyDescent="0.3">
      <c r="A46" s="21" t="s">
        <v>364</v>
      </c>
      <c r="B46" s="21">
        <v>431</v>
      </c>
      <c r="C46" s="21" t="s">
        <v>88</v>
      </c>
      <c r="D46" s="21" t="s">
        <v>57</v>
      </c>
      <c r="E46" s="21" t="str">
        <f>_xlfn.XLOOKUP(tbContratos[[#This Row],[EMPRESA]],tbFornecedores[FORNECEDOR],tbFornecedores[TIPO],"Não encontrado")</f>
        <v>DESEMPENHO</v>
      </c>
      <c r="F46" s="21" t="s">
        <v>39</v>
      </c>
      <c r="G46" s="23">
        <v>5000</v>
      </c>
      <c r="H4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46" s="23">
        <f>tbContratos[[#This Row],[VALOR CONTRATO]]-tbContratos[[#This Row],[VALOR MEDIDO]]</f>
        <v>5000</v>
      </c>
      <c r="J46" s="27">
        <f>tbContratos[[#This Row],[VALOR MEDIDO]]/tbContratos[[#This Row],[VALOR CONTRATO]]</f>
        <v>0</v>
      </c>
    </row>
    <row r="47" spans="1:10" x14ac:dyDescent="0.3">
      <c r="A47" s="21" t="s">
        <v>365</v>
      </c>
      <c r="B47" s="21">
        <v>431</v>
      </c>
      <c r="C47" s="21" t="s">
        <v>88</v>
      </c>
      <c r="D47" s="21" t="s">
        <v>58</v>
      </c>
      <c r="E47" s="21" t="str">
        <f>_xlfn.XLOOKUP(tbContratos[[#This Row],[EMPRESA]],tbFornecedores[FORNECEDOR],tbFornecedores[TIPO],"Não encontrado")</f>
        <v>DESEMPENHO</v>
      </c>
      <c r="F47" s="21" t="s">
        <v>39</v>
      </c>
      <c r="G47" s="23">
        <v>5000</v>
      </c>
      <c r="H47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47" s="23">
        <f>tbContratos[[#This Row],[VALOR CONTRATO]]-tbContratos[[#This Row],[VALOR MEDIDO]]</f>
        <v>5000</v>
      </c>
      <c r="J47" s="27">
        <f>tbContratos[[#This Row],[VALOR MEDIDO]]/tbContratos[[#This Row],[VALOR CONTRATO]]</f>
        <v>0</v>
      </c>
    </row>
    <row r="48" spans="1:10" x14ac:dyDescent="0.3">
      <c r="A48" s="21" t="s">
        <v>366</v>
      </c>
      <c r="B48" s="21">
        <v>382</v>
      </c>
      <c r="C48" s="21" t="s">
        <v>94</v>
      </c>
      <c r="D48" s="21" t="s">
        <v>47</v>
      </c>
      <c r="E48" s="21" t="str">
        <f>_xlfn.XLOOKUP(tbContratos[[#This Row],[EMPRESA]],tbFornecedores[FORNECEDOR],tbFornecedores[TIPO],"Não encontrado")</f>
        <v>LEGALIZAÇÃO</v>
      </c>
      <c r="F48" s="21" t="s">
        <v>25</v>
      </c>
      <c r="G48" s="23">
        <f>10*1425</f>
        <v>14250</v>
      </c>
      <c r="H48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7125</v>
      </c>
      <c r="I48" s="23">
        <f>tbContratos[[#This Row],[VALOR CONTRATO]]-tbContratos[[#This Row],[VALOR MEDIDO]]</f>
        <v>7125</v>
      </c>
      <c r="J48" s="27">
        <f>tbContratos[[#This Row],[VALOR MEDIDO]]/tbContratos[[#This Row],[VALOR CONTRATO]]</f>
        <v>0.5</v>
      </c>
    </row>
    <row r="49" spans="1:10" x14ac:dyDescent="0.3">
      <c r="A49" s="21" t="s">
        <v>367</v>
      </c>
      <c r="B49" s="21">
        <v>382</v>
      </c>
      <c r="C49" s="21" t="s">
        <v>94</v>
      </c>
      <c r="D49" s="21" t="s">
        <v>57</v>
      </c>
      <c r="E49" s="21" t="str">
        <f>_xlfn.XLOOKUP(tbContratos[[#This Row],[EMPRESA]],tbFornecedores[FORNECEDOR],tbFornecedores[TIPO],"Não encontrado")</f>
        <v>LEGALIZAÇÃO</v>
      </c>
      <c r="F49" s="21" t="s">
        <v>25</v>
      </c>
      <c r="G49" s="23">
        <f>10*1425</f>
        <v>14250</v>
      </c>
      <c r="H49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7125</v>
      </c>
      <c r="I49" s="23">
        <f>tbContratos[[#This Row],[VALOR CONTRATO]]-tbContratos[[#This Row],[VALOR MEDIDO]]</f>
        <v>7125</v>
      </c>
      <c r="J49" s="27">
        <f>tbContratos[[#This Row],[VALOR MEDIDO]]/tbContratos[[#This Row],[VALOR CONTRATO]]</f>
        <v>0.5</v>
      </c>
    </row>
    <row r="50" spans="1:10" x14ac:dyDescent="0.3">
      <c r="A50" s="21" t="s">
        <v>368</v>
      </c>
      <c r="B50" s="21">
        <v>382</v>
      </c>
      <c r="C50" s="21" t="s">
        <v>94</v>
      </c>
      <c r="D50" s="21" t="s">
        <v>59</v>
      </c>
      <c r="E50" s="21" t="str">
        <f>_xlfn.XLOOKUP(tbContratos[[#This Row],[EMPRESA]],tbFornecedores[FORNECEDOR],tbFornecedores[TIPO],"Não encontrado")</f>
        <v>LEGALIZAÇÃO</v>
      </c>
      <c r="F50" s="21" t="s">
        <v>25</v>
      </c>
      <c r="G50" s="23">
        <f>10*1425</f>
        <v>14250</v>
      </c>
      <c r="H50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7125</v>
      </c>
      <c r="I50" s="23">
        <f>tbContratos[[#This Row],[VALOR CONTRATO]]-tbContratos[[#This Row],[VALOR MEDIDO]]</f>
        <v>7125</v>
      </c>
      <c r="J50" s="27">
        <f>tbContratos[[#This Row],[VALOR MEDIDO]]/tbContratos[[#This Row],[VALOR CONTRATO]]</f>
        <v>0.5</v>
      </c>
    </row>
    <row r="51" spans="1:10" x14ac:dyDescent="0.3">
      <c r="A51" s="21" t="s">
        <v>369</v>
      </c>
      <c r="B51" s="21">
        <v>597</v>
      </c>
      <c r="C51" s="21" t="s">
        <v>94</v>
      </c>
      <c r="D51" s="21" t="s">
        <v>56</v>
      </c>
      <c r="E51" s="21" t="str">
        <f>_xlfn.XLOOKUP(tbContratos[[#This Row],[EMPRESA]],tbFornecedores[FORNECEDOR],tbFornecedores[TIPO],"Não encontrado")</f>
        <v>LEGALIZAÇÃO</v>
      </c>
      <c r="F51" s="21" t="s">
        <v>25</v>
      </c>
      <c r="G51" s="23">
        <f>10*1425</f>
        <v>14250</v>
      </c>
      <c r="H51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7125</v>
      </c>
      <c r="I51" s="23">
        <f>tbContratos[[#This Row],[VALOR CONTRATO]]-tbContratos[[#This Row],[VALOR MEDIDO]]</f>
        <v>7125</v>
      </c>
      <c r="J51" s="27">
        <f>tbContratos[[#This Row],[VALOR MEDIDO]]/tbContratos[[#This Row],[VALOR CONTRATO]]</f>
        <v>0.5</v>
      </c>
    </row>
    <row r="52" spans="1:10" x14ac:dyDescent="0.3">
      <c r="A52" s="21" t="s">
        <v>370</v>
      </c>
      <c r="B52" s="21">
        <v>385</v>
      </c>
      <c r="C52" s="21" t="s">
        <v>100</v>
      </c>
      <c r="D52" s="21" t="s">
        <v>47</v>
      </c>
      <c r="E52" s="21" t="str">
        <f>_xlfn.XLOOKUP(tbContratos[[#This Row],[EMPRESA]],tbFornecedores[FORNECEDOR],tbFornecedores[TIPO],"Não encontrado")</f>
        <v>LEGALIZAÇÃO</v>
      </c>
      <c r="F52" s="21" t="s">
        <v>25</v>
      </c>
      <c r="G52" s="23">
        <v>600</v>
      </c>
      <c r="H52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600</v>
      </c>
      <c r="I52" s="23">
        <f>tbContratos[[#This Row],[VALOR CONTRATO]]-tbContratos[[#This Row],[VALOR MEDIDO]]</f>
        <v>0</v>
      </c>
      <c r="J52" s="27">
        <f>tbContratos[[#This Row],[VALOR MEDIDO]]/tbContratos[[#This Row],[VALOR CONTRATO]]</f>
        <v>1</v>
      </c>
    </row>
    <row r="53" spans="1:10" x14ac:dyDescent="0.3">
      <c r="A53" s="21" t="s">
        <v>371</v>
      </c>
      <c r="B53" s="21">
        <v>385</v>
      </c>
      <c r="C53" s="21" t="s">
        <v>100</v>
      </c>
      <c r="D53" s="21" t="s">
        <v>56</v>
      </c>
      <c r="E53" s="21" t="str">
        <f>_xlfn.XLOOKUP(tbContratos[[#This Row],[EMPRESA]],tbFornecedores[FORNECEDOR],tbFornecedores[TIPO],"Não encontrado")</f>
        <v>LEGALIZAÇÃO</v>
      </c>
      <c r="F53" s="21" t="s">
        <v>25</v>
      </c>
      <c r="G53" s="23">
        <v>600</v>
      </c>
      <c r="H53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53" s="23">
        <f>tbContratos[[#This Row],[VALOR CONTRATO]]-tbContratos[[#This Row],[VALOR MEDIDO]]</f>
        <v>600</v>
      </c>
      <c r="J53" s="27">
        <f>tbContratos[[#This Row],[VALOR MEDIDO]]/tbContratos[[#This Row],[VALOR CONTRATO]]</f>
        <v>0</v>
      </c>
    </row>
    <row r="54" spans="1:10" x14ac:dyDescent="0.3">
      <c r="A54" s="21" t="s">
        <v>372</v>
      </c>
      <c r="B54" s="21">
        <v>385</v>
      </c>
      <c r="C54" s="21" t="s">
        <v>100</v>
      </c>
      <c r="D54" s="21" t="s">
        <v>57</v>
      </c>
      <c r="E54" s="21" t="str">
        <f>_xlfn.XLOOKUP(tbContratos[[#This Row],[EMPRESA]],tbFornecedores[FORNECEDOR],tbFornecedores[TIPO],"Não encontrado")</f>
        <v>LEGALIZAÇÃO</v>
      </c>
      <c r="F54" s="21" t="s">
        <v>25</v>
      </c>
      <c r="G54" s="23">
        <v>600</v>
      </c>
      <c r="H54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54" s="23">
        <f>tbContratos[[#This Row],[VALOR CONTRATO]]-tbContratos[[#This Row],[VALOR MEDIDO]]</f>
        <v>600</v>
      </c>
      <c r="J54" s="27">
        <f>tbContratos[[#This Row],[VALOR MEDIDO]]/tbContratos[[#This Row],[VALOR CONTRATO]]</f>
        <v>0</v>
      </c>
    </row>
    <row r="55" spans="1:10" x14ac:dyDescent="0.3">
      <c r="A55" s="21" t="s">
        <v>373</v>
      </c>
      <c r="B55" s="21">
        <v>385</v>
      </c>
      <c r="C55" s="21" t="s">
        <v>100</v>
      </c>
      <c r="D55" s="21" t="s">
        <v>58</v>
      </c>
      <c r="E55" s="21" t="str">
        <f>_xlfn.XLOOKUP(tbContratos[[#This Row],[EMPRESA]],tbFornecedores[FORNECEDOR],tbFornecedores[TIPO],"Não encontrado")</f>
        <v>LEGALIZAÇÃO</v>
      </c>
      <c r="F55" s="21" t="s">
        <v>25</v>
      </c>
      <c r="G55" s="23">
        <v>600</v>
      </c>
      <c r="H55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55" s="23">
        <f>tbContratos[[#This Row],[VALOR CONTRATO]]-tbContratos[[#This Row],[VALOR MEDIDO]]</f>
        <v>600</v>
      </c>
      <c r="J55" s="27">
        <f>tbContratos[[#This Row],[VALOR MEDIDO]]/tbContratos[[#This Row],[VALOR CONTRATO]]</f>
        <v>0</v>
      </c>
    </row>
    <row r="56" spans="1:10" x14ac:dyDescent="0.3">
      <c r="A56" s="21" t="s">
        <v>374</v>
      </c>
      <c r="B56" s="21">
        <v>385</v>
      </c>
      <c r="C56" s="21" t="s">
        <v>100</v>
      </c>
      <c r="D56" s="21" t="s">
        <v>59</v>
      </c>
      <c r="E56" s="21" t="str">
        <f>_xlfn.XLOOKUP(tbContratos[[#This Row],[EMPRESA]],tbFornecedores[FORNECEDOR],tbFornecedores[TIPO],"Não encontrado")</f>
        <v>LEGALIZAÇÃO</v>
      </c>
      <c r="F56" s="21" t="s">
        <v>25</v>
      </c>
      <c r="G56" s="23">
        <v>600</v>
      </c>
      <c r="H56" s="23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600</v>
      </c>
      <c r="I56" s="23">
        <f>tbContratos[[#This Row],[VALOR CONTRATO]]-tbContratos[[#This Row],[VALOR MEDIDO]]</f>
        <v>0</v>
      </c>
      <c r="J56" s="27">
        <f>tbContratos[[#This Row],[VALOR MEDIDO]]/tbContratos[[#This Row],[VALOR CONTRATO]]</f>
        <v>1</v>
      </c>
    </row>
    <row r="57" spans="1:10" x14ac:dyDescent="0.3">
      <c r="A57" s="21" t="s">
        <v>375</v>
      </c>
      <c r="B57" s="5">
        <v>584</v>
      </c>
      <c r="C57" s="5" t="s">
        <v>80</v>
      </c>
      <c r="D57" s="5" t="s">
        <v>55</v>
      </c>
      <c r="E57" s="5" t="str">
        <f>_xlfn.XLOOKUP(tbContratos[[#This Row],[EMPRESA]],tbFornecedores[FORNECEDOR],tbFornecedores[TIPO],"Não encontrado")</f>
        <v>ESTRUTURA</v>
      </c>
      <c r="F57" s="21" t="s">
        <v>114</v>
      </c>
      <c r="G57" s="17">
        <v>55000</v>
      </c>
      <c r="H57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57" s="17">
        <f>tbContratos[[#This Row],[VALOR CONTRATO]]-tbContratos[[#This Row],[VALOR MEDIDO]]</f>
        <v>55000</v>
      </c>
      <c r="J57" s="18">
        <f>tbContratos[[#This Row],[VALOR MEDIDO]]/tbContratos[[#This Row],[VALOR CONTRATO]]</f>
        <v>0</v>
      </c>
    </row>
    <row r="58" spans="1:10" x14ac:dyDescent="0.3">
      <c r="A58" s="21" t="s">
        <v>376</v>
      </c>
      <c r="B58" s="5">
        <v>585</v>
      </c>
      <c r="C58" s="5" t="s">
        <v>80</v>
      </c>
      <c r="D58" s="5" t="s">
        <v>59</v>
      </c>
      <c r="E58" s="5" t="str">
        <f>_xlfn.XLOOKUP(tbContratos[[#This Row],[EMPRESA]],tbFornecedores[FORNECEDOR],tbFornecedores[TIPO],"Não encontrado")</f>
        <v>ESTRUTURA</v>
      </c>
      <c r="F58" s="21" t="s">
        <v>342</v>
      </c>
      <c r="G58" s="17">
        <v>16500</v>
      </c>
      <c r="H58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58" s="17">
        <f>tbContratos[[#This Row],[VALOR CONTRATO]]-tbContratos[[#This Row],[VALOR MEDIDO]]</f>
        <v>16500</v>
      </c>
      <c r="J58" s="18">
        <f>tbContratos[[#This Row],[VALOR MEDIDO]]/tbContratos[[#This Row],[VALOR CONTRATO]]</f>
        <v>0</v>
      </c>
    </row>
    <row r="59" spans="1:10" x14ac:dyDescent="0.3">
      <c r="A59" s="21" t="s">
        <v>377</v>
      </c>
      <c r="B59" s="5"/>
      <c r="C59" s="5" t="s">
        <v>640</v>
      </c>
      <c r="D59" s="5" t="s">
        <v>47</v>
      </c>
      <c r="E59" s="5" t="str">
        <f>_xlfn.XLOOKUP(tbContratos[[#This Row],[EMPRESA]],tbFornecedores[FORNECEDOR],tbFornecedores[TIPO],"Não encontrado")</f>
        <v>LEGALIZAÇÃO</v>
      </c>
      <c r="F59" s="21" t="s">
        <v>25</v>
      </c>
      <c r="G59" s="17">
        <f>528286.4-14250-600</f>
        <v>513436.4</v>
      </c>
      <c r="H59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6060.0300000000007</v>
      </c>
      <c r="I59" s="17">
        <f>tbContratos[[#This Row],[VALOR CONTRATO]]-tbContratos[[#This Row],[VALOR MEDIDO]]</f>
        <v>507376.37</v>
      </c>
      <c r="J59" s="18">
        <f>tbContratos[[#This Row],[VALOR MEDIDO]]/tbContratos[[#This Row],[VALOR CONTRATO]]</f>
        <v>1.1802883473006589E-2</v>
      </c>
    </row>
    <row r="60" spans="1:10" x14ac:dyDescent="0.3">
      <c r="A60" s="21" t="s">
        <v>378</v>
      </c>
      <c r="B60" s="5"/>
      <c r="C60" s="5" t="s">
        <v>640</v>
      </c>
      <c r="D60" s="5" t="s">
        <v>56</v>
      </c>
      <c r="E60" s="5" t="str">
        <f>_xlfn.XLOOKUP(tbContratos[[#This Row],[EMPRESA]],tbFornecedores[FORNECEDOR],tbFornecedores[TIPO],"Não encontrado")</f>
        <v>LEGALIZAÇÃO</v>
      </c>
      <c r="F60" s="21" t="s">
        <v>25</v>
      </c>
      <c r="G60" s="17">
        <f>304579.2-14250-600</f>
        <v>289729.2</v>
      </c>
      <c r="H60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10986.220000000001</v>
      </c>
      <c r="I60" s="17">
        <f>tbContratos[[#This Row],[VALOR CONTRATO]]-tbContratos[[#This Row],[VALOR MEDIDO]]</f>
        <v>278742.98</v>
      </c>
      <c r="J60" s="18">
        <f>tbContratos[[#This Row],[VALOR MEDIDO]]/tbContratos[[#This Row],[VALOR CONTRATO]]</f>
        <v>3.7918925672662612E-2</v>
      </c>
    </row>
    <row r="61" spans="1:10" x14ac:dyDescent="0.3">
      <c r="A61" s="21" t="s">
        <v>379</v>
      </c>
      <c r="B61" s="5"/>
      <c r="C61" s="5" t="s">
        <v>640</v>
      </c>
      <c r="D61" s="5" t="s">
        <v>57</v>
      </c>
      <c r="E61" s="5" t="str">
        <f>_xlfn.XLOOKUP(tbContratos[[#This Row],[EMPRESA]],tbFornecedores[FORNECEDOR],tbFornecedores[TIPO],"Não encontrado")</f>
        <v>LEGALIZAÇÃO</v>
      </c>
      <c r="F61" s="21" t="s">
        <v>25</v>
      </c>
      <c r="G61" s="17">
        <f>742740.9-14250-600</f>
        <v>727890.9</v>
      </c>
      <c r="H61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0</v>
      </c>
      <c r="I61" s="17">
        <f>tbContratos[[#This Row],[VALOR CONTRATO]]-tbContratos[[#This Row],[VALOR MEDIDO]]</f>
        <v>727890.9</v>
      </c>
      <c r="J61" s="18">
        <f>tbContratos[[#This Row],[VALOR MEDIDO]]/tbContratos[[#This Row],[VALOR CONTRATO]]</f>
        <v>0</v>
      </c>
    </row>
    <row r="62" spans="1:10" x14ac:dyDescent="0.3">
      <c r="A62" s="21" t="s">
        <v>404</v>
      </c>
      <c r="B62" s="5"/>
      <c r="C62" s="5" t="s">
        <v>640</v>
      </c>
      <c r="D62" s="5" t="s">
        <v>59</v>
      </c>
      <c r="E62" s="5" t="str">
        <f>_xlfn.XLOOKUP(tbContratos[[#This Row],[EMPRESA]],tbFornecedores[FORNECEDOR],tbFornecedores[TIPO],"Não encontrado")</f>
        <v>LEGALIZAÇÃO</v>
      </c>
      <c r="F62" s="21" t="s">
        <v>25</v>
      </c>
      <c r="G62" s="17">
        <f>250584-14250-600</f>
        <v>235734</v>
      </c>
      <c r="H62" s="17">
        <f>SUMIFS(tbMedições[VALOR MEDIÇÃO],tbMedições[CONTRATO_ID],tbContratos[[#This Row],[CONTRATO_ID]],tbMedições[STATUS],"Pago")+SUMIFS(tbMedições[VALOR MEDIÇÃO],tbMedições[CONTRATO_ID],tbContratos[[#This Row],[CONTRATO_ID]],tbMedições[STATUS],"Medido")</f>
        <v>2885.93</v>
      </c>
      <c r="I62" s="17">
        <f>tbContratos[[#This Row],[VALOR CONTRATO]]-tbContratos[[#This Row],[VALOR MEDIDO]]</f>
        <v>232848.07</v>
      </c>
      <c r="J62" s="18">
        <f>tbContratos[[#This Row],[VALOR MEDIDO]]/tbContratos[[#This Row],[VALOR CONTRATO]]</f>
        <v>1.2242315491189221E-2</v>
      </c>
    </row>
  </sheetData>
  <phoneticPr fontId="3" type="noConversion"/>
  <dataValidations count="4">
    <dataValidation type="list" allowBlank="1" showInputMessage="1" showErrorMessage="1" sqref="B62" xr:uid="{148B8058-BFF6-4117-AE64-30BA1D14BE31}">
      <formula1>OBRAS</formula1>
    </dataValidation>
    <dataValidation type="list" allowBlank="1" showInputMessage="1" showErrorMessage="1" sqref="C2:C62" xr:uid="{51A506DA-55B1-47AF-AB26-9E2FA6A60F4B}">
      <formula1>ListaFornecedores</formula1>
    </dataValidation>
    <dataValidation type="list" allowBlank="1" showInputMessage="1" showErrorMessage="1" sqref="D2:D62" xr:uid="{B55AE3C9-E93A-4ED0-BAD5-4C18B8B4EEFB}">
      <formula1>ListaObras</formula1>
    </dataValidation>
    <dataValidation type="list" allowBlank="1" showInputMessage="1" showErrorMessage="1" sqref="F2:F62" xr:uid="{61EC37AA-48CA-4710-A2B1-E0CE1CC2F1A5}">
      <formula1>ListaSubdisciplinas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6180-58B9-4AC9-8809-12E673C82E74}">
  <dimension ref="A1:U223"/>
  <sheetViews>
    <sheetView topLeftCell="C1" zoomScale="93" workbookViewId="0">
      <selection activeCell="L8" sqref="L8"/>
    </sheetView>
  </sheetViews>
  <sheetFormatPr defaultRowHeight="14.4" x14ac:dyDescent="0.3"/>
  <cols>
    <col min="1" max="1" width="13.6640625" customWidth="1"/>
    <col min="2" max="2" width="17.77734375" bestFit="1" customWidth="1"/>
    <col min="3" max="3" width="13.6640625" bestFit="1" customWidth="1"/>
    <col min="4" max="4" width="11.109375" customWidth="1"/>
    <col min="5" max="5" width="30.6640625" bestFit="1" customWidth="1"/>
    <col min="6" max="7" width="13.77734375" customWidth="1"/>
    <col min="8" max="8" width="15.77734375" customWidth="1"/>
    <col min="9" max="9" width="21" bestFit="1" customWidth="1"/>
    <col min="10" max="10" width="21" customWidth="1"/>
    <col min="11" max="11" width="15.88671875" customWidth="1"/>
    <col min="12" max="12" width="13.44140625" bestFit="1" customWidth="1"/>
    <col min="14" max="14" width="22" bestFit="1" customWidth="1"/>
    <col min="19" max="19" width="17.5546875" bestFit="1" customWidth="1"/>
    <col min="20" max="20" width="11.5546875" bestFit="1" customWidth="1"/>
    <col min="21" max="21" width="10.77734375" bestFit="1" customWidth="1"/>
  </cols>
  <sheetData>
    <row r="1" spans="1:21" x14ac:dyDescent="0.3">
      <c r="A1" s="2" t="s">
        <v>395</v>
      </c>
      <c r="B1" s="1" t="s">
        <v>77</v>
      </c>
      <c r="C1" s="1" t="s">
        <v>78</v>
      </c>
      <c r="D1" s="1" t="s">
        <v>46</v>
      </c>
      <c r="E1" s="1" t="s">
        <v>350</v>
      </c>
      <c r="F1" s="1" t="s">
        <v>351</v>
      </c>
      <c r="G1" s="1" t="s">
        <v>390</v>
      </c>
      <c r="H1" s="1" t="s">
        <v>380</v>
      </c>
      <c r="I1" s="1" t="s">
        <v>674</v>
      </c>
      <c r="J1" s="1" t="s">
        <v>676</v>
      </c>
      <c r="K1" s="1" t="s">
        <v>669</v>
      </c>
      <c r="L1" s="1" t="s">
        <v>70</v>
      </c>
      <c r="M1" s="1" t="s">
        <v>382</v>
      </c>
      <c r="N1" s="1" t="s">
        <v>563</v>
      </c>
    </row>
    <row r="2" spans="1:21" x14ac:dyDescent="0.3">
      <c r="A2" s="2" t="s">
        <v>383</v>
      </c>
      <c r="B2" s="1" t="str" cm="1">
        <f t="array" ref="B2">_xlfn.XLOOKUP(tbMedições[[#This Row],[EMPRESA]]&amp;tbMedições[[#This Row],[OBRA]],tbContratos[EMPRESA]&amp;tbContratos[OBRA],tbContratos[CONTRATO_ID],"Não localizado")</f>
        <v>CT001</v>
      </c>
      <c r="C2" s="1" t="s">
        <v>97</v>
      </c>
      <c r="D2" s="1" t="s">
        <v>47</v>
      </c>
      <c r="E2" s="2" t="s">
        <v>9</v>
      </c>
      <c r="F2" s="2">
        <v>0.1</v>
      </c>
      <c r="G2" s="3"/>
      <c r="H2" s="4">
        <v>45797</v>
      </c>
      <c r="I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45797</v>
      </c>
      <c r="J2" s="4" t="str">
        <f>TEXT(tbMedições[[#This Row],[DATA REFERÊNCIA]],"aa/mm")</f>
        <v>25/05</v>
      </c>
      <c r="K2" s="12">
        <f>_xlfn.XLOOKUP(tbMedições[[#This Row],[CONTRATO_ID]],tbContratos[CONTRATO_ID],tbContratos[VALOR CONTRATO],"Não encontrado")*tbMedições[[#This Row],[PERCENTUAL]]</f>
        <v>10800</v>
      </c>
      <c r="L2" s="1" t="s">
        <v>19</v>
      </c>
      <c r="M2" s="1"/>
      <c r="N2" s="1"/>
    </row>
    <row r="3" spans="1:21" x14ac:dyDescent="0.3">
      <c r="A3" s="2" t="s">
        <v>384</v>
      </c>
      <c r="B3" s="1" t="str" cm="1">
        <f t="array" ref="B3">_xlfn.XLOOKUP(tbMedições[[#This Row],[EMPRESA]]&amp;tbMedições[[#This Row],[OBRA]],tbContratos[EMPRESA]&amp;tbContratos[OBRA],tbContratos[CONTRATO_ID],"Não localizado")</f>
        <v>CT001</v>
      </c>
      <c r="C3" s="1" t="s">
        <v>97</v>
      </c>
      <c r="D3" s="1" t="s">
        <v>47</v>
      </c>
      <c r="E3" s="2" t="s">
        <v>1</v>
      </c>
      <c r="F3" s="2">
        <v>0.1</v>
      </c>
      <c r="G3" s="3"/>
      <c r="H3" s="4">
        <v>45870</v>
      </c>
      <c r="I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45870</v>
      </c>
      <c r="J3" s="4" t="str">
        <f>TEXT(tbMedições[[#This Row],[DATA REFERÊNCIA]],"aa/mm")</f>
        <v>25/08</v>
      </c>
      <c r="K3" s="12">
        <f>_xlfn.XLOOKUP(tbMedições[[#This Row],[CONTRATO_ID]],tbContratos[CONTRATO_ID],tbContratos[VALOR CONTRATO],"Não encontrado")*tbMedições[[#This Row],[PERCENTUAL]]</f>
        <v>10800</v>
      </c>
      <c r="L3" s="1" t="s">
        <v>19</v>
      </c>
      <c r="M3" s="1"/>
      <c r="N3" s="1"/>
      <c r="S3" s="11" t="s">
        <v>27</v>
      </c>
      <c r="T3" t="s">
        <v>696</v>
      </c>
      <c r="U3" t="s">
        <v>697</v>
      </c>
    </row>
    <row r="4" spans="1:21" x14ac:dyDescent="0.3">
      <c r="A4" s="2" t="s">
        <v>385</v>
      </c>
      <c r="B4" s="3" t="str" cm="1">
        <f t="array" ref="B4">_xlfn.XLOOKUP(tbMedições[[#This Row],[EMPRESA]]&amp;tbMedições[[#This Row],[OBRA]],tbContratos[EMPRESA]&amp;tbContratos[OBRA],tbContratos[CONTRATO_ID],"Não localizado")</f>
        <v>CT001</v>
      </c>
      <c r="C4" s="1" t="s">
        <v>97</v>
      </c>
      <c r="D4" s="1" t="s">
        <v>47</v>
      </c>
      <c r="E4" s="2" t="s">
        <v>2</v>
      </c>
      <c r="F4" s="2">
        <v>0.1</v>
      </c>
      <c r="G4" s="3"/>
      <c r="H4" s="4">
        <v>46056</v>
      </c>
      <c r="I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46056</v>
      </c>
      <c r="J4" s="4" t="str">
        <f>TEXT(tbMedições[[#This Row],[DATA REFERÊNCIA]],"aa/mm")</f>
        <v>26/02</v>
      </c>
      <c r="K4" s="12">
        <f>_xlfn.XLOOKUP(tbMedições[[#This Row],[CONTRATO_ID]],tbContratos[CONTRATO_ID],tbContratos[VALOR CONTRATO],"Não encontrado")*tbMedições[[#This Row],[PERCENTUAL]]</f>
        <v>10800</v>
      </c>
      <c r="L4" s="1" t="s">
        <v>19</v>
      </c>
      <c r="M4" s="1">
        <v>375</v>
      </c>
      <c r="N4" s="1"/>
      <c r="S4" s="6" t="s">
        <v>692</v>
      </c>
      <c r="T4" s="29">
        <v>3450</v>
      </c>
      <c r="U4" s="29">
        <v>3450</v>
      </c>
    </row>
    <row r="5" spans="1:21" x14ac:dyDescent="0.3">
      <c r="A5" s="1" t="s">
        <v>386</v>
      </c>
      <c r="B5" s="3" t="str" cm="1">
        <f t="array" ref="B5">_xlfn.XLOOKUP(tbMedições[[#This Row],[EMPRESA]]&amp;tbMedições[[#This Row],[OBRA]],tbContratos[EMPRESA]&amp;tbContratos[OBRA],tbContratos[CONTRATO_ID],"Não localizado")</f>
        <v>CT001</v>
      </c>
      <c r="C5" s="1" t="s">
        <v>97</v>
      </c>
      <c r="D5" s="1" t="s">
        <v>47</v>
      </c>
      <c r="E5" s="2" t="s">
        <v>3</v>
      </c>
      <c r="F5" s="2">
        <v>0.15</v>
      </c>
      <c r="G5" s="3"/>
      <c r="H5" s="4">
        <v>46111</v>
      </c>
      <c r="I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46111</v>
      </c>
      <c r="J5" s="4" t="str">
        <f>TEXT(tbMedições[[#This Row],[DATA REFERÊNCIA]],"aa/mm")</f>
        <v>26/03</v>
      </c>
      <c r="K5" s="12">
        <f>_xlfn.XLOOKUP(tbMedições[[#This Row],[CONTRATO_ID]],tbContratos[CONTRATO_ID],tbContratos[VALOR CONTRATO],"Não encontrado")*tbMedições[[#This Row],[PERCENTUAL]]</f>
        <v>16200</v>
      </c>
      <c r="L5" s="1" t="s">
        <v>19</v>
      </c>
      <c r="M5" s="1">
        <v>467</v>
      </c>
      <c r="N5" s="1"/>
      <c r="S5" s="6" t="s">
        <v>677</v>
      </c>
      <c r="T5" s="29">
        <v>11900</v>
      </c>
      <c r="U5" s="29">
        <v>15350</v>
      </c>
    </row>
    <row r="6" spans="1:21" x14ac:dyDescent="0.3">
      <c r="A6" s="1" t="s">
        <v>387</v>
      </c>
      <c r="B6" s="3" t="str" cm="1">
        <f t="array" ref="B6">_xlfn.XLOOKUP(tbMedições[[#This Row],[EMPRESA]]&amp;tbMedições[[#This Row],[OBRA]],tbContratos[EMPRESA]&amp;tbContratos[OBRA],tbContratos[CONTRATO_ID],"Não localizado")</f>
        <v>CT001</v>
      </c>
      <c r="C6" s="1" t="s">
        <v>97</v>
      </c>
      <c r="D6" s="1" t="s">
        <v>47</v>
      </c>
      <c r="E6" s="2" t="s">
        <v>4</v>
      </c>
      <c r="F6" s="2">
        <v>0.3</v>
      </c>
      <c r="G6" s="3"/>
      <c r="H6" s="4">
        <v>46195</v>
      </c>
      <c r="I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46195</v>
      </c>
      <c r="J6" s="4" t="str">
        <f>TEXT(tbMedições[[#This Row],[DATA REFERÊNCIA]],"aa/mm")</f>
        <v>26/06</v>
      </c>
      <c r="K6" s="12">
        <f>_xlfn.XLOOKUP(tbMedições[[#This Row],[CONTRATO_ID]],tbContratos[CONTRATO_ID],tbContratos[VALOR CONTRATO],"Não encontrado")*tbMedições[[#This Row],[PERCENTUAL]]</f>
        <v>32400</v>
      </c>
      <c r="L6" s="1" t="s">
        <v>19</v>
      </c>
      <c r="M6" s="1">
        <v>593</v>
      </c>
      <c r="N6" s="1"/>
      <c r="S6" s="6" t="s">
        <v>678</v>
      </c>
      <c r="T6" s="29">
        <v>10800</v>
      </c>
      <c r="U6" s="29">
        <v>26150</v>
      </c>
    </row>
    <row r="7" spans="1:21" x14ac:dyDescent="0.3">
      <c r="A7" s="1" t="s">
        <v>388</v>
      </c>
      <c r="B7" s="3" t="str" cm="1">
        <f t="array" ref="B7">_xlfn.XLOOKUP(tbMedições[[#This Row],[EMPRESA]]&amp;tbMedições[[#This Row],[OBRA]],tbContratos[EMPRESA]&amp;tbContratos[OBRA],tbContratos[CONTRATO_ID],"Não localizado")</f>
        <v>CT001</v>
      </c>
      <c r="C7" s="1" t="s">
        <v>97</v>
      </c>
      <c r="D7" s="1" t="s">
        <v>47</v>
      </c>
      <c r="E7" s="2" t="s">
        <v>5</v>
      </c>
      <c r="F7" s="2">
        <v>0.2</v>
      </c>
      <c r="G7" s="3"/>
      <c r="H7" s="4">
        <v>46237</v>
      </c>
      <c r="I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7" s="4" t="str">
        <f>TEXT(tbMedições[[#This Row],[DATA REFERÊNCIA]],"aa/mm")</f>
        <v>26/08</v>
      </c>
      <c r="K7" s="12">
        <f>_xlfn.XLOOKUP(tbMedições[[#This Row],[CONTRATO_ID]],tbContratos[CONTRATO_ID],tbContratos[VALOR CONTRATO],"Não encontrado")*tbMedições[[#This Row],[PERCENTUAL]]</f>
        <v>21600</v>
      </c>
      <c r="L7" s="1" t="s">
        <v>394</v>
      </c>
      <c r="M7" s="1">
        <v>653</v>
      </c>
      <c r="N7" s="1"/>
      <c r="S7" s="6" t="s">
        <v>690</v>
      </c>
      <c r="T7" s="29">
        <v>4500</v>
      </c>
      <c r="U7" s="29">
        <v>30650</v>
      </c>
    </row>
    <row r="8" spans="1:21" x14ac:dyDescent="0.3">
      <c r="A8" s="1" t="s">
        <v>389</v>
      </c>
      <c r="B8" s="3" t="str" cm="1">
        <f t="array" ref="B8">_xlfn.XLOOKUP(tbMedições[[#This Row],[EMPRESA]]&amp;tbMedições[[#This Row],[OBRA]],tbContratos[EMPRESA]&amp;tbContratos[OBRA],tbContratos[CONTRATO_ID],"Não localizado")</f>
        <v>CT001</v>
      </c>
      <c r="C8" s="1" t="s">
        <v>97</v>
      </c>
      <c r="D8" s="1" t="s">
        <v>47</v>
      </c>
      <c r="E8" s="2" t="s">
        <v>10</v>
      </c>
      <c r="F8" s="2">
        <v>0.05</v>
      </c>
      <c r="G8" s="4">
        <v>46268</v>
      </c>
      <c r="H8" s="1"/>
      <c r="I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46268</v>
      </c>
      <c r="J8" s="4" t="str">
        <f>TEXT(tbMedições[[#This Row],[DATA REFERÊNCIA]],"aa/mm")</f>
        <v>26/09</v>
      </c>
      <c r="K8" s="12">
        <f>_xlfn.XLOOKUP(tbMedições[[#This Row],[CONTRATO_ID]],tbContratos[CONTRATO_ID],tbContratos[VALOR CONTRATO],"Não encontrado")*tbMedições[[#This Row],[PERCENTUAL]]</f>
        <v>5400</v>
      </c>
      <c r="L8" s="1" t="s">
        <v>664</v>
      </c>
      <c r="M8" s="1"/>
      <c r="N8" s="1"/>
      <c r="S8" s="6" t="s">
        <v>693</v>
      </c>
      <c r="T8" s="29">
        <v>9000</v>
      </c>
      <c r="U8" s="29">
        <v>39650</v>
      </c>
    </row>
    <row r="9" spans="1:21" x14ac:dyDescent="0.3">
      <c r="A9" s="1" t="s">
        <v>406</v>
      </c>
      <c r="B9" s="3" t="str" cm="1">
        <f t="array" ref="B9">_xlfn.XLOOKUP(tbMedições[[#This Row],[EMPRESA]]&amp;tbMedições[[#This Row],[OBRA]],tbContratos[EMPRESA]&amp;tbContratos[OBRA],tbContratos[CONTRATO_ID],"Não localizado")</f>
        <v>CT002</v>
      </c>
      <c r="C9" s="1" t="s">
        <v>97</v>
      </c>
      <c r="D9" s="1" t="s">
        <v>56</v>
      </c>
      <c r="E9" s="8" t="s">
        <v>7</v>
      </c>
      <c r="F9" s="2">
        <v>0.1</v>
      </c>
      <c r="G9" s="3"/>
      <c r="H9" s="4">
        <v>46093</v>
      </c>
      <c r="I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46093</v>
      </c>
      <c r="J9" s="4" t="str">
        <f>TEXT(tbMedições[[#This Row],[DATA REFERÊNCIA]],"aa/mm")</f>
        <v>26/03</v>
      </c>
      <c r="K9" s="12">
        <f>_xlfn.XLOOKUP(tbMedições[[#This Row],[CONTRATO_ID]],tbContratos[CONTRATO_ID],tbContratos[VALOR CONTRATO],"Não encontrado")*tbMedições[[#This Row],[PERCENTUAL]]</f>
        <v>8568</v>
      </c>
      <c r="L9" s="1" t="s">
        <v>19</v>
      </c>
      <c r="M9" s="1">
        <v>415</v>
      </c>
      <c r="N9" s="1"/>
      <c r="S9" s="6" t="s">
        <v>689</v>
      </c>
      <c r="T9" s="29">
        <v>48500</v>
      </c>
      <c r="U9" s="29">
        <v>88150</v>
      </c>
    </row>
    <row r="10" spans="1:21" x14ac:dyDescent="0.3">
      <c r="A10" s="1" t="s">
        <v>407</v>
      </c>
      <c r="B10" s="3" t="str" cm="1">
        <f t="array" ref="B10">_xlfn.XLOOKUP(tbMedições[[#This Row],[EMPRESA]]&amp;tbMedições[[#This Row],[OBRA]],tbContratos[EMPRESA]&amp;tbContratos[OBRA],tbContratos[CONTRATO_ID],"Não localizado")</f>
        <v>CT002</v>
      </c>
      <c r="C10" s="1" t="s">
        <v>97</v>
      </c>
      <c r="D10" s="1" t="s">
        <v>56</v>
      </c>
      <c r="E10" s="8" t="s">
        <v>0</v>
      </c>
      <c r="F10" s="2">
        <v>0.1</v>
      </c>
      <c r="G10" s="3"/>
      <c r="H10" s="4">
        <v>46113</v>
      </c>
      <c r="I1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46113</v>
      </c>
      <c r="J10" s="4" t="str">
        <f>TEXT(tbMedições[[#This Row],[DATA REFERÊNCIA]],"aa/mm")</f>
        <v>26/04</v>
      </c>
      <c r="K10" s="12">
        <f>_xlfn.XLOOKUP(tbMedições[[#This Row],[CONTRATO_ID]],tbContratos[CONTRATO_ID],tbContratos[VALOR CONTRATO],"Não encontrado")*tbMedições[[#This Row],[PERCENTUAL]]</f>
        <v>8568</v>
      </c>
      <c r="L10" s="1" t="s">
        <v>19</v>
      </c>
      <c r="M10" s="1">
        <v>469</v>
      </c>
      <c r="N10" s="1"/>
      <c r="S10" s="6" t="s">
        <v>679</v>
      </c>
      <c r="T10" s="29">
        <v>55800</v>
      </c>
      <c r="U10" s="29">
        <v>143950</v>
      </c>
    </row>
    <row r="11" spans="1:21" x14ac:dyDescent="0.3">
      <c r="A11" s="1" t="s">
        <v>408</v>
      </c>
      <c r="B11" s="3" t="str" cm="1">
        <f t="array" ref="B11">_xlfn.XLOOKUP(tbMedições[[#This Row],[EMPRESA]]&amp;tbMedições[[#This Row],[OBRA]],tbContratos[EMPRESA]&amp;tbContratos[OBRA],tbContratos[CONTRATO_ID],"Não localizado")</f>
        <v>CT002</v>
      </c>
      <c r="C11" s="1" t="s">
        <v>97</v>
      </c>
      <c r="D11" s="1" t="s">
        <v>56</v>
      </c>
      <c r="E11" s="8" t="s">
        <v>1</v>
      </c>
      <c r="F11" s="2">
        <v>0.2</v>
      </c>
      <c r="G11" s="3"/>
      <c r="H11" s="4">
        <v>46195</v>
      </c>
      <c r="I1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46195</v>
      </c>
      <c r="J11" s="4" t="str">
        <f>TEXT(tbMedições[[#This Row],[DATA REFERÊNCIA]],"aa/mm")</f>
        <v>26/06</v>
      </c>
      <c r="K11" s="12">
        <f>_xlfn.XLOOKUP(tbMedições[[#This Row],[CONTRATO_ID]],tbContratos[CONTRATO_ID],tbContratos[VALOR CONTRATO],"Não encontrado")*tbMedições[[#This Row],[PERCENTUAL]]</f>
        <v>17136</v>
      </c>
      <c r="L11" s="1" t="s">
        <v>19</v>
      </c>
      <c r="M11" s="1">
        <v>594</v>
      </c>
      <c r="N11" s="1"/>
      <c r="S11" s="6" t="s">
        <v>680</v>
      </c>
      <c r="T11" s="29">
        <v>18225</v>
      </c>
      <c r="U11" s="29">
        <v>162175</v>
      </c>
    </row>
    <row r="12" spans="1:21" x14ac:dyDescent="0.3">
      <c r="A12" s="1" t="s">
        <v>409</v>
      </c>
      <c r="B12" s="3" t="str" cm="1">
        <f t="array" ref="B12">_xlfn.XLOOKUP(tbMedições[[#This Row],[EMPRESA]]&amp;tbMedições[[#This Row],[OBRA]],tbContratos[EMPRESA]&amp;tbContratos[OBRA],tbContratos[CONTRATO_ID],"Não localizado")</f>
        <v>CT002</v>
      </c>
      <c r="C12" s="1" t="s">
        <v>97</v>
      </c>
      <c r="D12" s="1" t="s">
        <v>56</v>
      </c>
      <c r="E12" s="8" t="s">
        <v>2</v>
      </c>
      <c r="F12" s="2">
        <v>0.15</v>
      </c>
      <c r="G12" s="3"/>
      <c r="H12" s="4">
        <v>46204</v>
      </c>
      <c r="I1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46204</v>
      </c>
      <c r="J12" s="4" t="str">
        <f>TEXT(tbMedições[[#This Row],[DATA REFERÊNCIA]],"aa/mm")</f>
        <v>26/07</v>
      </c>
      <c r="K12" s="12">
        <f>_xlfn.XLOOKUP(tbMedições[[#This Row],[CONTRATO_ID]],tbContratos[CONTRATO_ID],tbContratos[VALOR CONTRATO],"Não encontrado")*tbMedições[[#This Row],[PERCENTUAL]]</f>
        <v>12852</v>
      </c>
      <c r="L12" s="1" t="s">
        <v>19</v>
      </c>
      <c r="M12" s="1">
        <v>641</v>
      </c>
      <c r="N12" s="1"/>
      <c r="S12" s="6" t="s">
        <v>684</v>
      </c>
      <c r="T12" s="29">
        <v>7376.64</v>
      </c>
      <c r="U12" s="29">
        <v>169551.64</v>
      </c>
    </row>
    <row r="13" spans="1:21" x14ac:dyDescent="0.3">
      <c r="A13" s="1" t="s">
        <v>410</v>
      </c>
      <c r="B13" s="3" t="str" cm="1">
        <f t="array" ref="B13">_xlfn.XLOOKUP(tbMedições[[#This Row],[EMPRESA]]&amp;tbMedições[[#This Row],[OBRA]],tbContratos[EMPRESA]&amp;tbContratos[OBRA],tbContratos[CONTRATO_ID],"Não localizado")</f>
        <v>CT002</v>
      </c>
      <c r="C13" s="1" t="s">
        <v>97</v>
      </c>
      <c r="D13" s="1" t="s">
        <v>56</v>
      </c>
      <c r="E13" s="8" t="s">
        <v>8</v>
      </c>
      <c r="F13" s="2">
        <v>0.2</v>
      </c>
      <c r="G13" s="4">
        <v>46244</v>
      </c>
      <c r="H13" s="1"/>
      <c r="I1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46244</v>
      </c>
      <c r="J13" s="4" t="str">
        <f>TEXT(tbMedições[[#This Row],[DATA REFERÊNCIA]],"aa/mm")</f>
        <v>26/08</v>
      </c>
      <c r="K13" s="12">
        <f>_xlfn.XLOOKUP(tbMedições[[#This Row],[CONTRATO_ID]],tbContratos[CONTRATO_ID],tbContratos[VALOR CONTRATO],"Não encontrado")*tbMedições[[#This Row],[PERCENTUAL]]</f>
        <v>17136</v>
      </c>
      <c r="L13" s="1" t="s">
        <v>664</v>
      </c>
      <c r="M13" s="1"/>
      <c r="N13" s="1"/>
      <c r="S13" s="6" t="s">
        <v>691</v>
      </c>
      <c r="T13" s="29">
        <v>19005</v>
      </c>
      <c r="U13" s="29">
        <v>188556.64</v>
      </c>
    </row>
    <row r="14" spans="1:21" x14ac:dyDescent="0.3">
      <c r="A14" s="1" t="s">
        <v>411</v>
      </c>
      <c r="B14" s="3" t="str" cm="1">
        <f t="array" ref="B14">_xlfn.XLOOKUP(tbMedições[[#This Row],[EMPRESA]]&amp;tbMedições[[#This Row],[OBRA]],tbContratos[EMPRESA]&amp;tbContratos[OBRA],tbContratos[CONTRATO_ID],"Não localizado")</f>
        <v>CT002</v>
      </c>
      <c r="C14" s="1" t="s">
        <v>97</v>
      </c>
      <c r="D14" s="1" t="s">
        <v>56</v>
      </c>
      <c r="E14" s="9" t="s">
        <v>4</v>
      </c>
      <c r="F14" s="2">
        <v>0.1</v>
      </c>
      <c r="G14" s="4">
        <v>46275</v>
      </c>
      <c r="H14" s="1"/>
      <c r="I1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46275</v>
      </c>
      <c r="J14" s="4" t="str">
        <f>TEXT(tbMedições[[#This Row],[DATA REFERÊNCIA]],"aa/mm")</f>
        <v>26/09</v>
      </c>
      <c r="K14" s="12">
        <f>_xlfn.XLOOKUP(tbMedições[[#This Row],[CONTRATO_ID]],tbContratos[CONTRATO_ID],tbContratos[VALOR CONTRATO],"Não encontrado")*tbMedições[[#This Row],[PERCENTUAL]]</f>
        <v>8568</v>
      </c>
      <c r="L14" s="1" t="s">
        <v>664</v>
      </c>
      <c r="M14" s="1"/>
      <c r="N14" s="1"/>
      <c r="S14" s="6" t="s">
        <v>681</v>
      </c>
      <c r="T14" s="29">
        <v>94434.040000000008</v>
      </c>
      <c r="U14" s="29">
        <v>282990.68000000005</v>
      </c>
    </row>
    <row r="15" spans="1:21" x14ac:dyDescent="0.3">
      <c r="A15" s="1" t="s">
        <v>412</v>
      </c>
      <c r="B15" s="3" t="str" cm="1">
        <f t="array" ref="B15">_xlfn.XLOOKUP(tbMedições[[#This Row],[EMPRESA]]&amp;tbMedições[[#This Row],[OBRA]],tbContratos[EMPRESA]&amp;tbContratos[OBRA],tbContratos[CONTRATO_ID],"Não localizado")</f>
        <v>CT002</v>
      </c>
      <c r="C15" s="1" t="s">
        <v>97</v>
      </c>
      <c r="D15" s="1" t="s">
        <v>56</v>
      </c>
      <c r="E15" s="9" t="s">
        <v>5</v>
      </c>
      <c r="F15" s="2">
        <v>0.1</v>
      </c>
      <c r="G15" s="4">
        <v>46305</v>
      </c>
      <c r="H15" s="1"/>
      <c r="I1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46305</v>
      </c>
      <c r="J15" s="4" t="str">
        <f>TEXT(tbMedições[[#This Row],[DATA REFERÊNCIA]],"aa/mm")</f>
        <v>26/10</v>
      </c>
      <c r="K15" s="12">
        <f>_xlfn.XLOOKUP(tbMedições[[#This Row],[CONTRATO_ID]],tbContratos[CONTRATO_ID],tbContratos[VALOR CONTRATO],"Não encontrado")*tbMedições[[#This Row],[PERCENTUAL]]</f>
        <v>8568</v>
      </c>
      <c r="L15" s="1" t="s">
        <v>664</v>
      </c>
      <c r="M15" s="1"/>
      <c r="N15" s="1"/>
      <c r="S15" s="6" t="s">
        <v>685</v>
      </c>
      <c r="T15" s="29">
        <v>1425</v>
      </c>
      <c r="U15" s="29">
        <v>284415.68000000005</v>
      </c>
    </row>
    <row r="16" spans="1:21" x14ac:dyDescent="0.3">
      <c r="A16" s="1" t="s">
        <v>413</v>
      </c>
      <c r="B16" s="3" t="str" cm="1">
        <f t="array" ref="B16">_xlfn.XLOOKUP(tbMedições[[#This Row],[EMPRESA]]&amp;tbMedições[[#This Row],[OBRA]],tbContratos[EMPRESA]&amp;tbContratos[OBRA],tbContratos[CONTRATO_ID],"Não localizado")</f>
        <v>CT002</v>
      </c>
      <c r="C16" s="1" t="s">
        <v>97</v>
      </c>
      <c r="D16" s="1" t="s">
        <v>56</v>
      </c>
      <c r="E16" s="8" t="s">
        <v>6</v>
      </c>
      <c r="F16" s="2">
        <v>0.05</v>
      </c>
      <c r="G16" s="4">
        <v>46336</v>
      </c>
      <c r="H16" s="1"/>
      <c r="I1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46336</v>
      </c>
      <c r="J16" s="4" t="str">
        <f>TEXT(tbMedições[[#This Row],[DATA REFERÊNCIA]],"aa/mm")</f>
        <v>26/11</v>
      </c>
      <c r="K16" s="12">
        <f>_xlfn.XLOOKUP(tbMedições[[#This Row],[CONTRATO_ID]],tbContratos[CONTRATO_ID],tbContratos[VALOR CONTRATO],"Não encontrado")*tbMedições[[#This Row],[PERCENTUAL]]</f>
        <v>4284</v>
      </c>
      <c r="L16" s="1" t="s">
        <v>664</v>
      </c>
      <c r="M16" s="1"/>
      <c r="N16" s="1"/>
      <c r="S16" s="6" t="s">
        <v>682</v>
      </c>
      <c r="T16" s="29">
        <v>73425</v>
      </c>
      <c r="U16" s="29">
        <v>357840.68000000005</v>
      </c>
    </row>
    <row r="17" spans="1:21" x14ac:dyDescent="0.3">
      <c r="A17" s="1" t="s">
        <v>414</v>
      </c>
      <c r="B17" s="3" t="str" cm="1">
        <f t="array" ref="B17">_xlfn.XLOOKUP(tbMedições[[#This Row],[EMPRESA]]&amp;tbMedições[[#This Row],[OBRA]],tbContratos[EMPRESA]&amp;tbContratos[OBRA],tbContratos[CONTRATO_ID],"Não localizado")</f>
        <v>CT003</v>
      </c>
      <c r="C17" s="1" t="s">
        <v>97</v>
      </c>
      <c r="D17" s="1" t="s">
        <v>57</v>
      </c>
      <c r="E17" s="2" t="s">
        <v>7</v>
      </c>
      <c r="F17" s="2">
        <v>0.1</v>
      </c>
      <c r="G17" s="3"/>
      <c r="H17" s="4">
        <v>46093</v>
      </c>
      <c r="I1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46093</v>
      </c>
      <c r="J17" s="4" t="str">
        <f>TEXT(tbMedições[[#This Row],[DATA REFERÊNCIA]],"aa/mm")</f>
        <v>26/03</v>
      </c>
      <c r="K17" s="12">
        <f>_xlfn.XLOOKUP(tbMedições[[#This Row],[CONTRATO_ID]],tbContratos[CONTRATO_ID],tbContratos[VALOR CONTRATO],"Não encontrado")*tbMedições[[#This Row],[PERCENTUAL]]</f>
        <v>16000</v>
      </c>
      <c r="L17" s="1" t="s">
        <v>19</v>
      </c>
      <c r="M17" s="1">
        <v>414</v>
      </c>
      <c r="N17" s="1"/>
      <c r="S17" s="6" t="s">
        <v>683</v>
      </c>
      <c r="T17" s="29">
        <v>34825</v>
      </c>
      <c r="U17" s="29">
        <v>392665.68000000005</v>
      </c>
    </row>
    <row r="18" spans="1:21" x14ac:dyDescent="0.3">
      <c r="A18" s="1" t="s">
        <v>415</v>
      </c>
      <c r="B18" s="3" t="str" cm="1">
        <f t="array" ref="B18">_xlfn.XLOOKUP(tbMedições[[#This Row],[EMPRESA]]&amp;tbMedições[[#This Row],[OBRA]],tbContratos[EMPRESA]&amp;tbContratos[OBRA],tbContratos[CONTRATO_ID],"Não localizado")</f>
        <v>CT003</v>
      </c>
      <c r="C18" s="1" t="s">
        <v>97</v>
      </c>
      <c r="D18" s="1" t="s">
        <v>57</v>
      </c>
      <c r="E18" s="2" t="s">
        <v>0</v>
      </c>
      <c r="F18" s="2">
        <v>0.1</v>
      </c>
      <c r="G18" s="3"/>
      <c r="H18" s="4">
        <v>46113</v>
      </c>
      <c r="I1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46113</v>
      </c>
      <c r="J18" s="4" t="str">
        <f>TEXT(tbMedições[[#This Row],[DATA REFERÊNCIA]],"aa/mm")</f>
        <v>26/04</v>
      </c>
      <c r="K18" s="12">
        <f>_xlfn.XLOOKUP(tbMedições[[#This Row],[CONTRATO_ID]],tbContratos[CONTRATO_ID],tbContratos[VALOR CONTRATO],"Não encontrado")*tbMedições[[#This Row],[PERCENTUAL]]</f>
        <v>16000</v>
      </c>
      <c r="L18" s="1" t="s">
        <v>19</v>
      </c>
      <c r="M18" s="1">
        <v>468</v>
      </c>
      <c r="N18" s="1"/>
      <c r="S18" s="6" t="s">
        <v>686</v>
      </c>
      <c r="T18" s="29">
        <v>52325</v>
      </c>
      <c r="U18" s="29">
        <v>444990.68000000005</v>
      </c>
    </row>
    <row r="19" spans="1:21" x14ac:dyDescent="0.3">
      <c r="A19" s="1" t="s">
        <v>416</v>
      </c>
      <c r="B19" s="3" t="str" cm="1">
        <f t="array" ref="B19">_xlfn.XLOOKUP(tbMedições[[#This Row],[EMPRESA]]&amp;tbMedições[[#This Row],[OBRA]],tbContratos[EMPRESA]&amp;tbContratos[OBRA],tbContratos[CONTRATO_ID],"Não localizado")</f>
        <v>CT003</v>
      </c>
      <c r="C19" s="1" t="s">
        <v>97</v>
      </c>
      <c r="D19" s="1" t="s">
        <v>57</v>
      </c>
      <c r="E19" s="2" t="s">
        <v>1</v>
      </c>
      <c r="F19" s="2">
        <v>0.2</v>
      </c>
      <c r="G19" s="3"/>
      <c r="H19" s="4">
        <v>46195</v>
      </c>
      <c r="I1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46195</v>
      </c>
      <c r="J19" s="4" t="str">
        <f>TEXT(tbMedições[[#This Row],[DATA REFERÊNCIA]],"aa/mm")</f>
        <v>26/06</v>
      </c>
      <c r="K19" s="12">
        <f>_xlfn.XLOOKUP(tbMedições[[#This Row],[CONTRATO_ID]],tbContratos[CONTRATO_ID],tbContratos[VALOR CONTRATO],"Não encontrado")*tbMedições[[#This Row],[PERCENTUAL]]</f>
        <v>32000</v>
      </c>
      <c r="L19" s="1" t="s">
        <v>19</v>
      </c>
      <c r="M19" s="1">
        <v>595</v>
      </c>
      <c r="N19" s="1"/>
      <c r="S19" s="6" t="s">
        <v>687</v>
      </c>
      <c r="T19" s="29">
        <v>58425</v>
      </c>
      <c r="U19" s="29">
        <v>503415.68000000005</v>
      </c>
    </row>
    <row r="20" spans="1:21" x14ac:dyDescent="0.3">
      <c r="A20" s="1" t="s">
        <v>417</v>
      </c>
      <c r="B20" s="3" t="str" cm="1">
        <f t="array" ref="B20">_xlfn.XLOOKUP(tbMedições[[#This Row],[EMPRESA]]&amp;tbMedições[[#This Row],[OBRA]],tbContratos[EMPRESA]&amp;tbContratos[OBRA],tbContratos[CONTRATO_ID],"Não localizado")</f>
        <v>CT003</v>
      </c>
      <c r="C20" s="1" t="s">
        <v>97</v>
      </c>
      <c r="D20" s="1" t="s">
        <v>57</v>
      </c>
      <c r="E20" s="2" t="s">
        <v>2</v>
      </c>
      <c r="F20" s="2">
        <v>0.15</v>
      </c>
      <c r="G20" s="4">
        <v>46287</v>
      </c>
      <c r="H20" s="1"/>
      <c r="I2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46287</v>
      </c>
      <c r="J20" s="4" t="str">
        <f>TEXT(tbMedições[[#This Row],[DATA REFERÊNCIA]],"aa/mm")</f>
        <v>26/09</v>
      </c>
      <c r="K20" s="12">
        <f>_xlfn.XLOOKUP(tbMedições[[#This Row],[CONTRATO_ID]],tbContratos[CONTRATO_ID],tbContratos[VALOR CONTRATO],"Não encontrado")*tbMedições[[#This Row],[PERCENTUAL]]</f>
        <v>24000</v>
      </c>
      <c r="L20" s="1" t="s">
        <v>664</v>
      </c>
      <c r="M20" s="1"/>
      <c r="N20" s="1"/>
      <c r="S20" s="6" t="s">
        <v>688</v>
      </c>
      <c r="T20" s="29">
        <v>13425</v>
      </c>
      <c r="U20" s="29">
        <v>516840.68000000005</v>
      </c>
    </row>
    <row r="21" spans="1:21" x14ac:dyDescent="0.3">
      <c r="A21" s="1" t="s">
        <v>418</v>
      </c>
      <c r="B21" s="3" t="str" cm="1">
        <f t="array" ref="B21">_xlfn.XLOOKUP(tbMedições[[#This Row],[EMPRESA]]&amp;tbMedições[[#This Row],[OBRA]],tbContratos[EMPRESA]&amp;tbContratos[OBRA],tbContratos[CONTRATO_ID],"Não localizado")</f>
        <v>CT003</v>
      </c>
      <c r="C21" s="1" t="s">
        <v>97</v>
      </c>
      <c r="D21" s="1" t="s">
        <v>57</v>
      </c>
      <c r="E21" s="2" t="s">
        <v>8</v>
      </c>
      <c r="F21" s="2">
        <v>0.2</v>
      </c>
      <c r="G21" s="4">
        <v>46317</v>
      </c>
      <c r="H21" s="1"/>
      <c r="I2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46317</v>
      </c>
      <c r="J21" s="4" t="str">
        <f>TEXT(tbMedições[[#This Row],[DATA REFERÊNCIA]],"aa/mm")</f>
        <v>26/10</v>
      </c>
      <c r="K21" s="12">
        <f>_xlfn.XLOOKUP(tbMedições[[#This Row],[CONTRATO_ID]],tbContratos[CONTRATO_ID],tbContratos[VALOR CONTRATO],"Não encontrado")*tbMedições[[#This Row],[PERCENTUAL]]</f>
        <v>32000</v>
      </c>
      <c r="L21" s="1" t="s">
        <v>664</v>
      </c>
      <c r="M21" s="1"/>
      <c r="N21" s="1"/>
      <c r="S21" s="6" t="s">
        <v>694</v>
      </c>
      <c r="T21" s="29">
        <v>7000</v>
      </c>
      <c r="U21" s="29">
        <v>523840.68000000005</v>
      </c>
    </row>
    <row r="22" spans="1:21" x14ac:dyDescent="0.3">
      <c r="A22" s="1" t="s">
        <v>419</v>
      </c>
      <c r="B22" s="3" t="str" cm="1">
        <f t="array" ref="B22">_xlfn.XLOOKUP(tbMedições[[#This Row],[EMPRESA]]&amp;tbMedições[[#This Row],[OBRA]],tbContratos[EMPRESA]&amp;tbContratos[OBRA],tbContratos[CONTRATO_ID],"Não localizado")</f>
        <v>CT003</v>
      </c>
      <c r="C22" s="1" t="s">
        <v>97</v>
      </c>
      <c r="D22" s="1" t="s">
        <v>57</v>
      </c>
      <c r="E22" s="2" t="s">
        <v>4</v>
      </c>
      <c r="F22" s="2">
        <v>0.1</v>
      </c>
      <c r="G22" s="4">
        <v>46348</v>
      </c>
      <c r="H22" s="1"/>
      <c r="I2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46348</v>
      </c>
      <c r="J22" s="4" t="str">
        <f>TEXT(tbMedições[[#This Row],[DATA REFERÊNCIA]],"aa/mm")</f>
        <v>26/11</v>
      </c>
      <c r="K22" s="12">
        <f>_xlfn.XLOOKUP(tbMedições[[#This Row],[CONTRATO_ID]],tbContratos[CONTRATO_ID],tbContratos[VALOR CONTRATO],"Não encontrado")*tbMedições[[#This Row],[PERCENTUAL]]</f>
        <v>16000</v>
      </c>
      <c r="L22" s="1" t="s">
        <v>664</v>
      </c>
      <c r="M22" s="1"/>
      <c r="N22" s="1"/>
      <c r="S22" s="6" t="s">
        <v>695</v>
      </c>
      <c r="T22" s="29">
        <v>7000</v>
      </c>
      <c r="U22" s="29">
        <v>530840.68000000005</v>
      </c>
    </row>
    <row r="23" spans="1:21" x14ac:dyDescent="0.3">
      <c r="A23" s="1" t="s">
        <v>420</v>
      </c>
      <c r="B23" s="3" t="str" cm="1">
        <f t="array" ref="B23">_xlfn.XLOOKUP(tbMedições[[#This Row],[EMPRESA]]&amp;tbMedições[[#This Row],[OBRA]],tbContratos[EMPRESA]&amp;tbContratos[OBRA],tbContratos[CONTRATO_ID],"Não localizado")</f>
        <v>CT003</v>
      </c>
      <c r="C23" s="1" t="s">
        <v>97</v>
      </c>
      <c r="D23" s="1" t="s">
        <v>57</v>
      </c>
      <c r="E23" s="2" t="s">
        <v>5</v>
      </c>
      <c r="F23" s="2">
        <v>0.1</v>
      </c>
      <c r="G23" s="4">
        <v>46378</v>
      </c>
      <c r="H23" s="1"/>
      <c r="I2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46378</v>
      </c>
      <c r="J23" s="4" t="str">
        <f>TEXT(tbMedições[[#This Row],[DATA REFERÊNCIA]],"aa/mm")</f>
        <v>26/12</v>
      </c>
      <c r="K23" s="12">
        <f>_xlfn.XLOOKUP(tbMedições[[#This Row],[CONTRATO_ID]],tbContratos[CONTRATO_ID],tbContratos[VALOR CONTRATO],"Não encontrado")*tbMedições[[#This Row],[PERCENTUAL]]</f>
        <v>16000</v>
      </c>
      <c r="L23" s="1" t="s">
        <v>664</v>
      </c>
      <c r="M23" s="1"/>
      <c r="N23" s="1"/>
      <c r="S23" s="6" t="s">
        <v>28</v>
      </c>
      <c r="T23" s="29">
        <v>530840.68000000005</v>
      </c>
      <c r="U23" s="29"/>
    </row>
    <row r="24" spans="1:21" x14ac:dyDescent="0.3">
      <c r="A24" s="1" t="s">
        <v>421</v>
      </c>
      <c r="B24" s="3" t="str" cm="1">
        <f t="array" ref="B24">_xlfn.XLOOKUP(tbMedições[[#This Row],[EMPRESA]]&amp;tbMedições[[#This Row],[OBRA]],tbContratos[EMPRESA]&amp;tbContratos[OBRA],tbContratos[CONTRATO_ID],"Não localizado")</f>
        <v>CT003</v>
      </c>
      <c r="C24" s="1" t="s">
        <v>97</v>
      </c>
      <c r="D24" s="1" t="s">
        <v>57</v>
      </c>
      <c r="E24" s="2" t="s">
        <v>6</v>
      </c>
      <c r="F24" s="2">
        <v>0.05</v>
      </c>
      <c r="G24" s="4">
        <v>46044</v>
      </c>
      <c r="H24" s="1"/>
      <c r="I2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46044</v>
      </c>
      <c r="J24" s="4" t="str">
        <f>TEXT(tbMedições[[#This Row],[DATA REFERÊNCIA]],"aa/mm")</f>
        <v>26/01</v>
      </c>
      <c r="K24" s="12">
        <f>_xlfn.XLOOKUP(tbMedições[[#This Row],[CONTRATO_ID]],tbContratos[CONTRATO_ID],tbContratos[VALOR CONTRATO],"Não encontrado")*tbMedições[[#This Row],[PERCENTUAL]]</f>
        <v>8000</v>
      </c>
      <c r="L24" s="1" t="s">
        <v>664</v>
      </c>
      <c r="M24" s="1"/>
      <c r="N24" s="1"/>
    </row>
    <row r="25" spans="1:21" x14ac:dyDescent="0.3">
      <c r="A25" s="1" t="s">
        <v>422</v>
      </c>
      <c r="B25" s="3" t="str" cm="1">
        <f t="array" ref="B25">_xlfn.XLOOKUP(tbMedições[[#This Row],[EMPRESA]]&amp;tbMedições[[#This Row],[OBRA]],tbContratos[EMPRESA]&amp;tbContratos[OBRA],tbContratos[CONTRATO_ID],"Não localizado")</f>
        <v>CT004</v>
      </c>
      <c r="C25" s="1" t="s">
        <v>97</v>
      </c>
      <c r="D25" s="1" t="s">
        <v>58</v>
      </c>
      <c r="E25" s="2" t="s">
        <v>7</v>
      </c>
      <c r="F25" s="2">
        <v>0.1</v>
      </c>
      <c r="G25" s="3"/>
      <c r="H25" s="4">
        <v>45807</v>
      </c>
      <c r="I2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45807</v>
      </c>
      <c r="J25" s="4" t="str">
        <f>TEXT(tbMedições[[#This Row],[DATA REFERÊNCIA]],"aa/mm")</f>
        <v>25/05</v>
      </c>
      <c r="K25" s="12">
        <f>_xlfn.XLOOKUP(tbMedições[[#This Row],[CONTRATO_ID]],tbContratos[CONTRATO_ID],tbContratos[VALOR CONTRATO],"Não encontrado")*tbMedições[[#This Row],[PERCENTUAL]]</f>
        <v>7800</v>
      </c>
      <c r="L25" s="1" t="s">
        <v>19</v>
      </c>
      <c r="M25" s="1"/>
      <c r="N25" s="1"/>
    </row>
    <row r="26" spans="1:21" x14ac:dyDescent="0.3">
      <c r="A26" s="1" t="s">
        <v>423</v>
      </c>
      <c r="B26" s="3" t="str" cm="1">
        <f t="array" ref="B26">_xlfn.XLOOKUP(tbMedições[[#This Row],[EMPRESA]]&amp;tbMedições[[#This Row],[OBRA]],tbContratos[EMPRESA]&amp;tbContratos[OBRA],tbContratos[CONTRATO_ID],"Não localizado")</f>
        <v>CT004</v>
      </c>
      <c r="C26" s="1" t="s">
        <v>97</v>
      </c>
      <c r="D26" s="1" t="s">
        <v>58</v>
      </c>
      <c r="E26" s="2" t="s">
        <v>1</v>
      </c>
      <c r="F26" s="2">
        <v>0.2</v>
      </c>
      <c r="G26" s="3"/>
      <c r="H26" s="4">
        <v>45915</v>
      </c>
      <c r="I2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45915</v>
      </c>
      <c r="J26" s="4" t="str">
        <f>TEXT(tbMedições[[#This Row],[DATA REFERÊNCIA]],"aa/mm")</f>
        <v>25/09</v>
      </c>
      <c r="K26" s="12">
        <f>_xlfn.XLOOKUP(tbMedições[[#This Row],[CONTRATO_ID]],tbContratos[CONTRATO_ID],tbContratos[VALOR CONTRATO],"Não encontrado")*tbMedições[[#This Row],[PERCENTUAL]]</f>
        <v>15600</v>
      </c>
      <c r="L26" s="1" t="s">
        <v>19</v>
      </c>
      <c r="M26" s="1"/>
      <c r="N26" s="1"/>
    </row>
    <row r="27" spans="1:21" x14ac:dyDescent="0.3">
      <c r="A27" s="1" t="s">
        <v>424</v>
      </c>
      <c r="B27" s="3" t="str" cm="1">
        <f t="array" ref="B27">_xlfn.XLOOKUP(tbMedições[[#This Row],[EMPRESA]]&amp;tbMedições[[#This Row],[OBRA]],tbContratos[EMPRESA]&amp;tbContratos[OBRA],tbContratos[CONTRATO_ID],"Não localizado")</f>
        <v>CT004</v>
      </c>
      <c r="C27" s="1" t="s">
        <v>97</v>
      </c>
      <c r="D27" s="1" t="s">
        <v>58</v>
      </c>
      <c r="E27" s="2" t="s">
        <v>2</v>
      </c>
      <c r="F27" s="2">
        <v>0.2</v>
      </c>
      <c r="G27" s="4">
        <v>46310</v>
      </c>
      <c r="H27" s="1"/>
      <c r="I2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46310</v>
      </c>
      <c r="J27" s="4" t="str">
        <f>TEXT(tbMedições[[#This Row],[DATA REFERÊNCIA]],"aa/mm")</f>
        <v>26/10</v>
      </c>
      <c r="K27" s="12">
        <f>_xlfn.XLOOKUP(tbMedições[[#This Row],[CONTRATO_ID]],tbContratos[CONTRATO_ID],tbContratos[VALOR CONTRATO],"Não encontrado")*tbMedições[[#This Row],[PERCENTUAL]]</f>
        <v>15600</v>
      </c>
      <c r="L27" s="1" t="s">
        <v>664</v>
      </c>
      <c r="M27" s="1"/>
      <c r="N27" s="1"/>
    </row>
    <row r="28" spans="1:21" x14ac:dyDescent="0.3">
      <c r="A28" s="1" t="s">
        <v>425</v>
      </c>
      <c r="B28" s="3" t="str" cm="1">
        <f t="array" ref="B28">_xlfn.XLOOKUP(tbMedições[[#This Row],[EMPRESA]]&amp;tbMedições[[#This Row],[OBRA]],tbContratos[EMPRESA]&amp;tbContratos[OBRA],tbContratos[CONTRATO_ID],"Não localizado")</f>
        <v>CT004</v>
      </c>
      <c r="C28" s="1" t="s">
        <v>97</v>
      </c>
      <c r="D28" s="1" t="s">
        <v>58</v>
      </c>
      <c r="E28" s="2" t="s">
        <v>3</v>
      </c>
      <c r="F28" s="2">
        <v>0.2</v>
      </c>
      <c r="G28" s="3"/>
      <c r="H28" s="1"/>
      <c r="I2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28" s="4" t="str">
        <f>TEXT(tbMedições[[#This Row],[DATA REFERÊNCIA]],"aa/mm")</f>
        <v>00/01</v>
      </c>
      <c r="K28" s="12">
        <f>_xlfn.XLOOKUP(tbMedições[[#This Row],[CONTRATO_ID]],tbContratos[CONTRATO_ID],tbContratos[VALOR CONTRATO],"Não encontrado")*tbMedições[[#This Row],[PERCENTUAL]]</f>
        <v>15600</v>
      </c>
      <c r="L28" s="1" t="s">
        <v>20</v>
      </c>
      <c r="M28" s="1"/>
      <c r="N28" s="1"/>
    </row>
    <row r="29" spans="1:21" x14ac:dyDescent="0.3">
      <c r="A29" s="1" t="s">
        <v>426</v>
      </c>
      <c r="B29" s="3" t="str" cm="1">
        <f t="array" ref="B29">_xlfn.XLOOKUP(tbMedições[[#This Row],[EMPRESA]]&amp;tbMedições[[#This Row],[OBRA]],tbContratos[EMPRESA]&amp;tbContratos[OBRA],tbContratos[CONTRATO_ID],"Não localizado")</f>
        <v>CT004</v>
      </c>
      <c r="C29" s="1" t="s">
        <v>97</v>
      </c>
      <c r="D29" s="1" t="s">
        <v>58</v>
      </c>
      <c r="E29" s="2" t="s">
        <v>4</v>
      </c>
      <c r="F29" s="2">
        <v>0.15</v>
      </c>
      <c r="G29" s="3"/>
      <c r="H29" s="1"/>
      <c r="I2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29" s="4" t="str">
        <f>TEXT(tbMedições[[#This Row],[DATA REFERÊNCIA]],"aa/mm")</f>
        <v>00/01</v>
      </c>
      <c r="K29" s="12">
        <f>_xlfn.XLOOKUP(tbMedições[[#This Row],[CONTRATO_ID]],tbContratos[CONTRATO_ID],tbContratos[VALOR CONTRATO],"Não encontrado")*tbMedições[[#This Row],[PERCENTUAL]]</f>
        <v>11700</v>
      </c>
      <c r="L29" s="1" t="s">
        <v>20</v>
      </c>
      <c r="M29" s="1"/>
      <c r="N29" s="1"/>
    </row>
    <row r="30" spans="1:21" x14ac:dyDescent="0.3">
      <c r="A30" s="1" t="s">
        <v>427</v>
      </c>
      <c r="B30" s="3" t="str" cm="1">
        <f t="array" ref="B30">_xlfn.XLOOKUP(tbMedições[[#This Row],[EMPRESA]]&amp;tbMedições[[#This Row],[OBRA]],tbContratos[EMPRESA]&amp;tbContratos[OBRA],tbContratos[CONTRATO_ID],"Não localizado")</f>
        <v>CT004</v>
      </c>
      <c r="C30" s="1" t="s">
        <v>97</v>
      </c>
      <c r="D30" s="1" t="s">
        <v>58</v>
      </c>
      <c r="E30" s="2" t="s">
        <v>5</v>
      </c>
      <c r="F30" s="2">
        <v>0.1</v>
      </c>
      <c r="G30" s="3"/>
      <c r="H30" s="1"/>
      <c r="I3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30" s="4" t="str">
        <f>TEXT(tbMedições[[#This Row],[DATA REFERÊNCIA]],"aa/mm")</f>
        <v>00/01</v>
      </c>
      <c r="K30" s="12">
        <f>_xlfn.XLOOKUP(tbMedições[[#This Row],[CONTRATO_ID]],tbContratos[CONTRATO_ID],tbContratos[VALOR CONTRATO],"Não encontrado")*tbMedições[[#This Row],[PERCENTUAL]]</f>
        <v>7800</v>
      </c>
      <c r="L30" s="1" t="s">
        <v>20</v>
      </c>
      <c r="M30" s="1"/>
      <c r="N30" s="1"/>
    </row>
    <row r="31" spans="1:21" x14ac:dyDescent="0.3">
      <c r="A31" s="1" t="s">
        <v>428</v>
      </c>
      <c r="B31" s="3" t="str" cm="1">
        <f t="array" ref="B31">_xlfn.XLOOKUP(tbMedições[[#This Row],[EMPRESA]]&amp;tbMedições[[#This Row],[OBRA]],tbContratos[EMPRESA]&amp;tbContratos[OBRA],tbContratos[CONTRATO_ID],"Não localizado")</f>
        <v>CT004</v>
      </c>
      <c r="C31" s="1" t="s">
        <v>97</v>
      </c>
      <c r="D31" s="1" t="s">
        <v>58</v>
      </c>
      <c r="E31" s="2" t="s">
        <v>6</v>
      </c>
      <c r="F31" s="2">
        <v>0.05</v>
      </c>
      <c r="G31" s="3"/>
      <c r="H31" s="1"/>
      <c r="I3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31" s="4" t="str">
        <f>TEXT(tbMedições[[#This Row],[DATA REFERÊNCIA]],"aa/mm")</f>
        <v>00/01</v>
      </c>
      <c r="K31" s="12">
        <f>_xlfn.XLOOKUP(tbMedições[[#This Row],[CONTRATO_ID]],tbContratos[CONTRATO_ID],tbContratos[VALOR CONTRATO],"Não encontrado")*tbMedições[[#This Row],[PERCENTUAL]]</f>
        <v>3900</v>
      </c>
      <c r="L31" s="1" t="s">
        <v>20</v>
      </c>
      <c r="M31" s="1"/>
      <c r="N31" s="1"/>
    </row>
    <row r="32" spans="1:21" x14ac:dyDescent="0.3">
      <c r="A32" s="1" t="s">
        <v>429</v>
      </c>
      <c r="B32" s="3" t="str" cm="1">
        <f t="array" ref="B32">_xlfn.XLOOKUP(tbMedições[[#This Row],[EMPRESA]]&amp;tbMedições[[#This Row],[OBRA]],tbContratos[EMPRESA]&amp;tbContratos[OBRA],tbContratos[CONTRATO_ID],"Não localizado")</f>
        <v>CT005</v>
      </c>
      <c r="C32" s="1" t="s">
        <v>80</v>
      </c>
      <c r="D32" s="1" t="s">
        <v>47</v>
      </c>
      <c r="E32" s="1" t="s">
        <v>11</v>
      </c>
      <c r="F32" s="2">
        <v>0.05</v>
      </c>
      <c r="G32" s="3"/>
      <c r="H32" s="4">
        <v>45979</v>
      </c>
      <c r="I3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45979</v>
      </c>
      <c r="J32" s="4" t="str">
        <f>TEXT(tbMedições[[#This Row],[DATA REFERÊNCIA]],"aa/mm")</f>
        <v>25/11</v>
      </c>
      <c r="K32" s="12">
        <f>_xlfn.XLOOKUP(tbMedições[[#This Row],[CONTRATO_ID]],tbContratos[CONTRATO_ID],tbContratos[VALOR CONTRATO],"Não encontrado")*tbMedições[[#This Row],[PERCENTUAL]]</f>
        <v>4500</v>
      </c>
      <c r="L32" s="1" t="s">
        <v>19</v>
      </c>
      <c r="M32" s="1"/>
      <c r="N32" s="1"/>
    </row>
    <row r="33" spans="1:14" x14ac:dyDescent="0.3">
      <c r="A33" s="1" t="s">
        <v>430</v>
      </c>
      <c r="B33" s="3" t="str" cm="1">
        <f t="array" ref="B33">_xlfn.XLOOKUP(tbMedições[[#This Row],[EMPRESA]]&amp;tbMedições[[#This Row],[OBRA]],tbContratos[EMPRESA]&amp;tbContratos[OBRA],tbContratos[CONTRATO_ID],"Não localizado")</f>
        <v>CT005</v>
      </c>
      <c r="C33" s="1" t="s">
        <v>80</v>
      </c>
      <c r="D33" s="1" t="s">
        <v>47</v>
      </c>
      <c r="E33" s="1" t="s">
        <v>12</v>
      </c>
      <c r="F33" s="2">
        <v>0.15</v>
      </c>
      <c r="G33" s="3"/>
      <c r="H33" s="4">
        <v>46197</v>
      </c>
      <c r="I3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46197</v>
      </c>
      <c r="J33" s="4" t="str">
        <f>TEXT(tbMedições[[#This Row],[DATA REFERÊNCIA]],"aa/mm")</f>
        <v>26/06</v>
      </c>
      <c r="K33" s="12">
        <f>_xlfn.XLOOKUP(tbMedições[[#This Row],[CONTRATO_ID]],tbContratos[CONTRATO_ID],tbContratos[VALOR CONTRATO],"Não encontrado")*tbMedições[[#This Row],[PERCENTUAL]]</f>
        <v>13500</v>
      </c>
      <c r="L33" s="1" t="s">
        <v>19</v>
      </c>
      <c r="M33" s="1"/>
      <c r="N33" s="1"/>
    </row>
    <row r="34" spans="1:14" x14ac:dyDescent="0.3">
      <c r="A34" s="1" t="s">
        <v>431</v>
      </c>
      <c r="B34" s="3" t="str" cm="1">
        <f t="array" ref="B34">_xlfn.XLOOKUP(tbMedições[[#This Row],[EMPRESA]]&amp;tbMedições[[#This Row],[OBRA]],tbContratos[EMPRESA]&amp;tbContratos[OBRA],tbContratos[CONTRATO_ID],"Não localizado")</f>
        <v>CT005</v>
      </c>
      <c r="C34" s="1" t="s">
        <v>80</v>
      </c>
      <c r="D34" s="1" t="s">
        <v>47</v>
      </c>
      <c r="E34" s="1" t="s">
        <v>13</v>
      </c>
      <c r="F34" s="2">
        <v>0.4</v>
      </c>
      <c r="G34" s="4">
        <v>46336</v>
      </c>
      <c r="H34" s="1"/>
      <c r="I3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46336</v>
      </c>
      <c r="J34" s="4" t="str">
        <f>TEXT(tbMedições[[#This Row],[DATA REFERÊNCIA]],"aa/mm")</f>
        <v>26/11</v>
      </c>
      <c r="K34" s="12">
        <f>_xlfn.XLOOKUP(tbMedições[[#This Row],[CONTRATO_ID]],tbContratos[CONTRATO_ID],tbContratos[VALOR CONTRATO],"Não encontrado")*tbMedições[[#This Row],[PERCENTUAL]]</f>
        <v>36000</v>
      </c>
      <c r="L34" s="1" t="s">
        <v>664</v>
      </c>
      <c r="M34" s="1"/>
      <c r="N34" s="1"/>
    </row>
    <row r="35" spans="1:14" x14ac:dyDescent="0.3">
      <c r="A35" s="1" t="s">
        <v>432</v>
      </c>
      <c r="B35" s="3" t="str" cm="1">
        <f t="array" ref="B35">_xlfn.XLOOKUP(tbMedições[[#This Row],[EMPRESA]]&amp;tbMedições[[#This Row],[OBRA]],tbContratos[EMPRESA]&amp;tbContratos[OBRA],tbContratos[CONTRATO_ID],"Não localizado")</f>
        <v>CT005</v>
      </c>
      <c r="C35" s="1" t="s">
        <v>80</v>
      </c>
      <c r="D35" s="1" t="s">
        <v>47</v>
      </c>
      <c r="E35" s="1" t="s">
        <v>14</v>
      </c>
      <c r="F35" s="2">
        <v>0.4</v>
      </c>
      <c r="G35" s="4">
        <v>46032</v>
      </c>
      <c r="H35" s="1"/>
      <c r="I3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46032</v>
      </c>
      <c r="J35" s="4" t="str">
        <f>TEXT(tbMedições[[#This Row],[DATA REFERÊNCIA]],"aa/mm")</f>
        <v>26/01</v>
      </c>
      <c r="K35" s="12">
        <f>_xlfn.XLOOKUP(tbMedições[[#This Row],[CONTRATO_ID]],tbContratos[CONTRATO_ID],tbContratos[VALOR CONTRATO],"Não encontrado")*tbMedições[[#This Row],[PERCENTUAL]]</f>
        <v>36000</v>
      </c>
      <c r="L35" s="1" t="s">
        <v>392</v>
      </c>
      <c r="M35" s="1"/>
      <c r="N35" s="1"/>
    </row>
    <row r="36" spans="1:14" x14ac:dyDescent="0.3">
      <c r="A36" s="1" t="s">
        <v>433</v>
      </c>
      <c r="B36" s="3" t="str" cm="1">
        <f t="array" ref="B36">_xlfn.XLOOKUP(tbMedições[[#This Row],[EMPRESA]]&amp;tbMedições[[#This Row],[OBRA]],tbContratos[EMPRESA]&amp;tbContratos[OBRA],tbContratos[CONTRATO_ID],"Não localizado")</f>
        <v>CT006</v>
      </c>
      <c r="C36" s="1" t="s">
        <v>80</v>
      </c>
      <c r="D36" s="1" t="s">
        <v>56</v>
      </c>
      <c r="E36" s="5" t="s">
        <v>11</v>
      </c>
      <c r="F36" s="2">
        <v>0.15</v>
      </c>
      <c r="G36" s="3"/>
      <c r="H36" s="4">
        <v>46197</v>
      </c>
      <c r="I3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46197</v>
      </c>
      <c r="J36" s="4" t="str">
        <f>TEXT(tbMedições[[#This Row],[DATA REFERÊNCIA]],"aa/mm")</f>
        <v>26/06</v>
      </c>
      <c r="K36" s="12">
        <f>_xlfn.XLOOKUP(tbMedições[[#This Row],[CONTRATO_ID]],tbContratos[CONTRATO_ID],tbContratos[VALOR CONTRATO],"Não encontrado")*tbMedições[[#This Row],[PERCENTUAL]]</f>
        <v>15000</v>
      </c>
      <c r="L36" s="1" t="s">
        <v>19</v>
      </c>
      <c r="M36" s="1"/>
      <c r="N36" s="1"/>
    </row>
    <row r="37" spans="1:14" x14ac:dyDescent="0.3">
      <c r="A37" s="1" t="s">
        <v>434</v>
      </c>
      <c r="B37" s="3" t="str" cm="1">
        <f t="array" ref="B37">_xlfn.XLOOKUP(tbMedições[[#This Row],[EMPRESA]]&amp;tbMedições[[#This Row],[OBRA]],tbContratos[EMPRESA]&amp;tbContratos[OBRA],tbContratos[CONTRATO_ID],"Não localizado")</f>
        <v>CT006</v>
      </c>
      <c r="C37" s="1" t="s">
        <v>80</v>
      </c>
      <c r="D37" s="1" t="s">
        <v>56</v>
      </c>
      <c r="E37" s="5" t="s">
        <v>12</v>
      </c>
      <c r="F37" s="2">
        <v>0.2</v>
      </c>
      <c r="G37" s="4">
        <v>46275</v>
      </c>
      <c r="H37" s="1"/>
      <c r="I3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46275</v>
      </c>
      <c r="J37" s="4" t="str">
        <f>TEXT(tbMedições[[#This Row],[DATA REFERÊNCIA]],"aa/mm")</f>
        <v>26/09</v>
      </c>
      <c r="K37" s="12">
        <f>_xlfn.XLOOKUP(tbMedições[[#This Row],[CONTRATO_ID]],tbContratos[CONTRATO_ID],tbContratos[VALOR CONTRATO],"Não encontrado")*tbMedições[[#This Row],[PERCENTUAL]]</f>
        <v>20000</v>
      </c>
      <c r="L37" s="1" t="s">
        <v>664</v>
      </c>
      <c r="M37" s="1"/>
      <c r="N37" s="1"/>
    </row>
    <row r="38" spans="1:14" x14ac:dyDescent="0.3">
      <c r="A38" s="1" t="s">
        <v>435</v>
      </c>
      <c r="B38" s="3" t="str" cm="1">
        <f t="array" ref="B38">_xlfn.XLOOKUP(tbMedições[[#This Row],[EMPRESA]]&amp;tbMedições[[#This Row],[OBRA]],tbContratos[EMPRESA]&amp;tbContratos[OBRA],tbContratos[CONTRATO_ID],"Não localizado")</f>
        <v>CT006</v>
      </c>
      <c r="C38" s="1" t="s">
        <v>80</v>
      </c>
      <c r="D38" s="1" t="s">
        <v>56</v>
      </c>
      <c r="E38" s="5" t="s">
        <v>13</v>
      </c>
      <c r="F38" s="2">
        <v>0.2</v>
      </c>
      <c r="G38" s="4">
        <v>46366</v>
      </c>
      <c r="H38" s="1"/>
      <c r="I3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46366</v>
      </c>
      <c r="J38" s="4" t="str">
        <f>TEXT(tbMedições[[#This Row],[DATA REFERÊNCIA]],"aa/mm")</f>
        <v>26/12</v>
      </c>
      <c r="K38" s="12">
        <f>_xlfn.XLOOKUP(tbMedições[[#This Row],[CONTRATO_ID]],tbContratos[CONTRATO_ID],tbContratos[VALOR CONTRATO],"Não encontrado")*tbMedições[[#This Row],[PERCENTUAL]]</f>
        <v>20000</v>
      </c>
      <c r="L38" s="1" t="s">
        <v>664</v>
      </c>
      <c r="M38" s="1"/>
      <c r="N38" s="1"/>
    </row>
    <row r="39" spans="1:14" x14ac:dyDescent="0.3">
      <c r="A39" s="1" t="s">
        <v>436</v>
      </c>
      <c r="B39" s="3" t="str" cm="1">
        <f t="array" ref="B39">_xlfn.XLOOKUP(tbMedições[[#This Row],[EMPRESA]]&amp;tbMedições[[#This Row],[OBRA]],tbContratos[EMPRESA]&amp;tbContratos[OBRA],tbContratos[CONTRATO_ID],"Não localizado")</f>
        <v>CT006</v>
      </c>
      <c r="C39" s="1" t="s">
        <v>80</v>
      </c>
      <c r="D39" s="1" t="s">
        <v>56</v>
      </c>
      <c r="E39" s="5" t="s">
        <v>14</v>
      </c>
      <c r="F39" s="2">
        <v>0.45</v>
      </c>
      <c r="G39" s="4">
        <v>46032</v>
      </c>
      <c r="H39" s="1"/>
      <c r="I3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46032</v>
      </c>
      <c r="J39" s="4" t="str">
        <f>TEXT(tbMedições[[#This Row],[DATA REFERÊNCIA]],"aa/mm")</f>
        <v>26/01</v>
      </c>
      <c r="K39" s="12">
        <f>_xlfn.XLOOKUP(tbMedições[[#This Row],[CONTRATO_ID]],tbContratos[CONTRATO_ID],tbContratos[VALOR CONTRATO],"Não encontrado")*tbMedições[[#This Row],[PERCENTUAL]]</f>
        <v>45000</v>
      </c>
      <c r="L39" s="1" t="s">
        <v>664</v>
      </c>
      <c r="M39" s="1"/>
      <c r="N39" s="1"/>
    </row>
    <row r="40" spans="1:14" x14ac:dyDescent="0.3">
      <c r="A40" s="1" t="s">
        <v>437</v>
      </c>
      <c r="B40" s="3" t="str" cm="1">
        <f t="array" ref="B40">_xlfn.XLOOKUP(tbMedições[[#This Row],[EMPRESA]]&amp;tbMedições[[#This Row],[OBRA]],tbContratos[EMPRESA]&amp;tbContratos[OBRA],tbContratos[CONTRATO_ID],"Não localizado")</f>
        <v>CT007</v>
      </c>
      <c r="C40" s="1" t="s">
        <v>80</v>
      </c>
      <c r="D40" s="1" t="s">
        <v>57</v>
      </c>
      <c r="E40" s="5" t="s">
        <v>11</v>
      </c>
      <c r="F40" s="2">
        <v>0.15</v>
      </c>
      <c r="G40" s="3"/>
      <c r="H40" s="4">
        <v>46197</v>
      </c>
      <c r="I4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46197</v>
      </c>
      <c r="J40" s="4" t="str">
        <f>TEXT(tbMedições[[#This Row],[DATA REFERÊNCIA]],"aa/mm")</f>
        <v>26/06</v>
      </c>
      <c r="K40" s="12">
        <f>_xlfn.XLOOKUP(tbMedições[[#This Row],[CONTRATO_ID]],tbContratos[CONTRATO_ID],tbContratos[VALOR CONTRATO],"Não encontrado")*tbMedições[[#This Row],[PERCENTUAL]]</f>
        <v>31500</v>
      </c>
      <c r="L40" s="1" t="s">
        <v>19</v>
      </c>
      <c r="M40" s="1"/>
      <c r="N40" s="1"/>
    </row>
    <row r="41" spans="1:14" x14ac:dyDescent="0.3">
      <c r="A41" s="1" t="s">
        <v>438</v>
      </c>
      <c r="B41" s="3" t="str" cm="1">
        <f t="array" ref="B41">_xlfn.XLOOKUP(tbMedições[[#This Row],[EMPRESA]]&amp;tbMedições[[#This Row],[OBRA]],tbContratos[EMPRESA]&amp;tbContratos[OBRA],tbContratos[CONTRATO_ID],"Não localizado")</f>
        <v>CT007</v>
      </c>
      <c r="C41" s="1" t="s">
        <v>80</v>
      </c>
      <c r="D41" s="1" t="s">
        <v>57</v>
      </c>
      <c r="E41" s="5" t="s">
        <v>12</v>
      </c>
      <c r="F41" s="2">
        <v>0.2</v>
      </c>
      <c r="G41" s="4">
        <v>46336</v>
      </c>
      <c r="H41" s="1"/>
      <c r="I4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46336</v>
      </c>
      <c r="J41" s="4" t="str">
        <f>TEXT(tbMedições[[#This Row],[DATA REFERÊNCIA]],"aa/mm")</f>
        <v>26/11</v>
      </c>
      <c r="K41" s="12">
        <f>_xlfn.XLOOKUP(tbMedições[[#This Row],[CONTRATO_ID]],tbContratos[CONTRATO_ID],tbContratos[VALOR CONTRATO],"Não encontrado")*tbMedições[[#This Row],[PERCENTUAL]]</f>
        <v>42000</v>
      </c>
      <c r="L41" s="1" t="s">
        <v>664</v>
      </c>
      <c r="M41" s="1"/>
      <c r="N41" s="1"/>
    </row>
    <row r="42" spans="1:14" x14ac:dyDescent="0.3">
      <c r="A42" s="1" t="s">
        <v>439</v>
      </c>
      <c r="B42" s="3" t="str" cm="1">
        <f t="array" ref="B42">_xlfn.XLOOKUP(tbMedições[[#This Row],[EMPRESA]]&amp;tbMedições[[#This Row],[OBRA]],tbContratos[EMPRESA]&amp;tbContratos[OBRA],tbContratos[CONTRATO_ID],"Não localizado")</f>
        <v>CT007</v>
      </c>
      <c r="C42" s="1" t="s">
        <v>80</v>
      </c>
      <c r="D42" s="1" t="s">
        <v>57</v>
      </c>
      <c r="E42" s="5" t="s">
        <v>13</v>
      </c>
      <c r="F42" s="2">
        <v>0.2</v>
      </c>
      <c r="G42" s="4">
        <v>46032</v>
      </c>
      <c r="H42" s="1"/>
      <c r="I4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46032</v>
      </c>
      <c r="J42" s="4" t="str">
        <f>TEXT(tbMedições[[#This Row],[DATA REFERÊNCIA]],"aa/mm")</f>
        <v>26/01</v>
      </c>
      <c r="K42" s="12">
        <f>_xlfn.XLOOKUP(tbMedições[[#This Row],[CONTRATO_ID]],tbContratos[CONTRATO_ID],tbContratos[VALOR CONTRATO],"Não encontrado")*tbMedições[[#This Row],[PERCENTUAL]]</f>
        <v>42000</v>
      </c>
      <c r="L42" s="1" t="s">
        <v>664</v>
      </c>
      <c r="M42" s="1"/>
      <c r="N42" s="1"/>
    </row>
    <row r="43" spans="1:14" x14ac:dyDescent="0.3">
      <c r="A43" s="1" t="s">
        <v>440</v>
      </c>
      <c r="B43" s="3" t="str" cm="1">
        <f t="array" ref="B43">_xlfn.XLOOKUP(tbMedições[[#This Row],[EMPRESA]]&amp;tbMedições[[#This Row],[OBRA]],tbContratos[EMPRESA]&amp;tbContratos[OBRA],tbContratos[CONTRATO_ID],"Não localizado")</f>
        <v>CT007</v>
      </c>
      <c r="C43" s="1" t="s">
        <v>80</v>
      </c>
      <c r="D43" s="1" t="s">
        <v>57</v>
      </c>
      <c r="E43" s="5" t="s">
        <v>14</v>
      </c>
      <c r="F43" s="2">
        <v>0.45</v>
      </c>
      <c r="G43" s="4">
        <v>46091</v>
      </c>
      <c r="H43" s="1"/>
      <c r="I4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46091</v>
      </c>
      <c r="J43" s="4" t="str">
        <f>TEXT(tbMedições[[#This Row],[DATA REFERÊNCIA]],"aa/mm")</f>
        <v>26/03</v>
      </c>
      <c r="K43" s="12">
        <f>_xlfn.XLOOKUP(tbMedições[[#This Row],[CONTRATO_ID]],tbContratos[CONTRATO_ID],tbContratos[VALOR CONTRATO],"Não encontrado")*tbMedições[[#This Row],[PERCENTUAL]]</f>
        <v>94500</v>
      </c>
      <c r="L43" s="1" t="s">
        <v>664</v>
      </c>
      <c r="M43" s="1"/>
      <c r="N43" s="1"/>
    </row>
    <row r="44" spans="1:14" x14ac:dyDescent="0.3">
      <c r="A44" s="1" t="s">
        <v>441</v>
      </c>
      <c r="B44" s="3" t="str" cm="1">
        <f t="array" ref="B44">_xlfn.XLOOKUP(tbMedições[[#This Row],[EMPRESA]]&amp;tbMedições[[#This Row],[OBRA]],tbContratos[EMPRESA]&amp;tbContratos[OBRA],tbContratos[CONTRATO_ID],"Não localizado")</f>
        <v>CT008</v>
      </c>
      <c r="C44" s="1" t="s">
        <v>83</v>
      </c>
      <c r="D44" s="1" t="s">
        <v>59</v>
      </c>
      <c r="E44" s="5" t="s">
        <v>16</v>
      </c>
      <c r="F44" s="2">
        <v>0.10258620689655172</v>
      </c>
      <c r="G44" s="3"/>
      <c r="H44" s="4">
        <v>46198</v>
      </c>
      <c r="I4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46198</v>
      </c>
      <c r="J44" s="4" t="str">
        <f>TEXT(tbMedições[[#This Row],[DATA REFERÊNCIA]],"aa/mm")</f>
        <v>26/06</v>
      </c>
      <c r="K44" s="12">
        <f>_xlfn.XLOOKUP(tbMedições[[#This Row],[CONTRATO_ID]],tbContratos[CONTRATO_ID],tbContratos[VALOR CONTRATO],"Não encontrado")*tbMedições[[#This Row],[PERCENTUAL]]</f>
        <v>2975</v>
      </c>
      <c r="L44" s="1" t="s">
        <v>19</v>
      </c>
      <c r="M44" s="1"/>
      <c r="N44" s="1"/>
    </row>
    <row r="45" spans="1:14" x14ac:dyDescent="0.3">
      <c r="A45" s="1" t="s">
        <v>442</v>
      </c>
      <c r="B45" s="3" t="str" cm="1">
        <f t="array" ref="B45">_xlfn.XLOOKUP(tbMedições[[#This Row],[EMPRESA]]&amp;tbMedições[[#This Row],[OBRA]],tbContratos[EMPRESA]&amp;tbContratos[OBRA],tbContratos[CONTRATO_ID],"Não localizado")</f>
        <v>CT008</v>
      </c>
      <c r="C45" s="1" t="s">
        <v>83</v>
      </c>
      <c r="D45" s="1" t="s">
        <v>59</v>
      </c>
      <c r="E45" s="5" t="s">
        <v>17</v>
      </c>
      <c r="F45" s="2">
        <v>0.10258620689655172</v>
      </c>
      <c r="G45" s="4">
        <v>46290</v>
      </c>
      <c r="H45" s="1"/>
      <c r="I4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46290</v>
      </c>
      <c r="J45" s="4" t="str">
        <f>TEXT(tbMedições[[#This Row],[DATA REFERÊNCIA]],"aa/mm")</f>
        <v>26/09</v>
      </c>
      <c r="K45" s="12">
        <f>_xlfn.XLOOKUP(tbMedições[[#This Row],[CONTRATO_ID]],tbContratos[CONTRATO_ID],tbContratos[VALOR CONTRATO],"Não encontrado")*tbMedições[[#This Row],[PERCENTUAL]]</f>
        <v>2975</v>
      </c>
      <c r="L45" s="1" t="s">
        <v>664</v>
      </c>
      <c r="M45" s="1"/>
      <c r="N45" s="1"/>
    </row>
    <row r="46" spans="1:14" x14ac:dyDescent="0.3">
      <c r="A46" s="1" t="s">
        <v>443</v>
      </c>
      <c r="B46" s="3" t="str" cm="1">
        <f t="array" ref="B46">_xlfn.XLOOKUP(tbMedições[[#This Row],[EMPRESA]]&amp;tbMedições[[#This Row],[OBRA]],tbContratos[EMPRESA]&amp;tbContratos[OBRA],tbContratos[CONTRATO_ID],"Não localizado")</f>
        <v>CT008</v>
      </c>
      <c r="C46" s="1" t="s">
        <v>83</v>
      </c>
      <c r="D46" s="1" t="s">
        <v>59</v>
      </c>
      <c r="E46" s="5" t="s">
        <v>395</v>
      </c>
      <c r="F46" s="2">
        <v>0.12974137931034482</v>
      </c>
      <c r="G46" s="3"/>
      <c r="H46" s="4">
        <v>46231</v>
      </c>
      <c r="I4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46231</v>
      </c>
      <c r="J46" s="4" t="str">
        <f>TEXT(tbMedições[[#This Row],[DATA REFERÊNCIA]],"aa/mm")</f>
        <v>26/07</v>
      </c>
      <c r="K46" s="12">
        <f>_xlfn.XLOOKUP(tbMedições[[#This Row],[CONTRATO_ID]],tbContratos[CONTRATO_ID],tbContratos[VALOR CONTRATO],"Não encontrado")*tbMedições[[#This Row],[PERCENTUAL]]</f>
        <v>3762.5</v>
      </c>
      <c r="L46" s="1" t="s">
        <v>394</v>
      </c>
      <c r="M46" s="1"/>
      <c r="N46" s="1"/>
    </row>
    <row r="47" spans="1:14" x14ac:dyDescent="0.3">
      <c r="A47" s="1" t="s">
        <v>444</v>
      </c>
      <c r="B47" s="3" t="str" cm="1">
        <f t="array" ref="B47">_xlfn.XLOOKUP(tbMedições[[#This Row],[EMPRESA]]&amp;tbMedições[[#This Row],[OBRA]],tbContratos[EMPRESA]&amp;tbContratos[OBRA],tbContratos[CONTRATO_ID],"Não localizado")</f>
        <v>CT008</v>
      </c>
      <c r="C47" s="1" t="s">
        <v>83</v>
      </c>
      <c r="D47" s="1" t="s">
        <v>59</v>
      </c>
      <c r="E47" s="5" t="s">
        <v>396</v>
      </c>
      <c r="F47" s="2">
        <v>0.12974137931034482</v>
      </c>
      <c r="G47" s="4">
        <v>46262</v>
      </c>
      <c r="H47" s="1"/>
      <c r="I4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46262</v>
      </c>
      <c r="J47" s="4" t="str">
        <f>TEXT(tbMedições[[#This Row],[DATA REFERÊNCIA]],"aa/mm")</f>
        <v>26/08</v>
      </c>
      <c r="K47" s="12">
        <f>_xlfn.XLOOKUP(tbMedições[[#This Row],[CONTRATO_ID]],tbContratos[CONTRATO_ID],tbContratos[VALOR CONTRATO],"Não encontrado")*tbMedições[[#This Row],[PERCENTUAL]]</f>
        <v>3762.5</v>
      </c>
      <c r="L47" s="1" t="s">
        <v>664</v>
      </c>
      <c r="M47" s="1"/>
      <c r="N47" s="1"/>
    </row>
    <row r="48" spans="1:14" x14ac:dyDescent="0.3">
      <c r="A48" s="1" t="s">
        <v>445</v>
      </c>
      <c r="B48" s="3" t="str" cm="1">
        <f t="array" ref="B48">_xlfn.XLOOKUP(tbMedições[[#This Row],[EMPRESA]]&amp;tbMedições[[#This Row],[OBRA]],tbContratos[EMPRESA]&amp;tbContratos[OBRA],tbContratos[CONTRATO_ID],"Não localizado")</f>
        <v>CT008</v>
      </c>
      <c r="C48" s="1" t="s">
        <v>83</v>
      </c>
      <c r="D48" s="1" t="s">
        <v>59</v>
      </c>
      <c r="E48" s="5" t="s">
        <v>398</v>
      </c>
      <c r="F48" s="2">
        <v>0.12974137931034482</v>
      </c>
      <c r="G48" s="4">
        <v>46293</v>
      </c>
      <c r="H48" s="1"/>
      <c r="I4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46293</v>
      </c>
      <c r="J48" s="4" t="str">
        <f>TEXT(tbMedições[[#This Row],[DATA REFERÊNCIA]],"aa/mm")</f>
        <v>26/09</v>
      </c>
      <c r="K48" s="12">
        <f>_xlfn.XLOOKUP(tbMedições[[#This Row],[CONTRATO_ID]],tbContratos[CONTRATO_ID],tbContratos[VALOR CONTRATO],"Não encontrado")*tbMedições[[#This Row],[PERCENTUAL]]</f>
        <v>3762.5</v>
      </c>
      <c r="L48" s="1" t="s">
        <v>664</v>
      </c>
      <c r="M48" s="1"/>
      <c r="N48" s="1"/>
    </row>
    <row r="49" spans="1:14" x14ac:dyDescent="0.3">
      <c r="A49" s="1" t="s">
        <v>446</v>
      </c>
      <c r="B49" s="3" t="str" cm="1">
        <f t="array" ref="B49">_xlfn.XLOOKUP(tbMedições[[#This Row],[EMPRESA]]&amp;tbMedições[[#This Row],[OBRA]],tbContratos[EMPRESA]&amp;tbContratos[OBRA],tbContratos[CONTRATO_ID],"Não localizado")</f>
        <v>CT008</v>
      </c>
      <c r="C49" s="1" t="s">
        <v>83</v>
      </c>
      <c r="D49" s="1" t="s">
        <v>59</v>
      </c>
      <c r="E49" s="5" t="s">
        <v>399</v>
      </c>
      <c r="F49" s="2">
        <v>0.12974137931034482</v>
      </c>
      <c r="G49" s="4">
        <v>46323</v>
      </c>
      <c r="H49" s="1"/>
      <c r="I4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46323</v>
      </c>
      <c r="J49" s="4" t="str">
        <f>TEXT(tbMedições[[#This Row],[DATA REFERÊNCIA]],"aa/mm")</f>
        <v>26/10</v>
      </c>
      <c r="K49" s="12">
        <f>_xlfn.XLOOKUP(tbMedições[[#This Row],[CONTRATO_ID]],tbContratos[CONTRATO_ID],tbContratos[VALOR CONTRATO],"Não encontrado")*tbMedições[[#This Row],[PERCENTUAL]]</f>
        <v>3762.5</v>
      </c>
      <c r="L49" s="1" t="s">
        <v>664</v>
      </c>
      <c r="M49" s="1"/>
      <c r="N49" s="1"/>
    </row>
    <row r="50" spans="1:14" x14ac:dyDescent="0.3">
      <c r="A50" s="1" t="s">
        <v>447</v>
      </c>
      <c r="B50" s="3" t="str" cm="1">
        <f t="array" ref="B50">_xlfn.XLOOKUP(tbMedições[[#This Row],[EMPRESA]]&amp;tbMedições[[#This Row],[OBRA]],tbContratos[EMPRESA]&amp;tbContratos[OBRA],tbContratos[CONTRATO_ID],"Não localizado")</f>
        <v>CT008</v>
      </c>
      <c r="C50" s="1" t="s">
        <v>83</v>
      </c>
      <c r="D50" s="1" t="s">
        <v>59</v>
      </c>
      <c r="E50" s="2" t="s">
        <v>400</v>
      </c>
      <c r="F50" s="2">
        <v>9.1954022988505746E-2</v>
      </c>
      <c r="G50" s="3"/>
      <c r="H50" s="4">
        <v>46231</v>
      </c>
      <c r="I5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46231</v>
      </c>
      <c r="J50" s="4" t="str">
        <f>TEXT(tbMedições[[#This Row],[DATA REFERÊNCIA]],"aa/mm")</f>
        <v>26/07</v>
      </c>
      <c r="K50" s="12">
        <f>_xlfn.XLOOKUP(tbMedições[[#This Row],[CONTRATO_ID]],tbContratos[CONTRATO_ID],tbContratos[VALOR CONTRATO],"Não encontrado")*tbMedições[[#This Row],[PERCENTUAL]]</f>
        <v>2666.6666666666665</v>
      </c>
      <c r="L50" s="1" t="s">
        <v>394</v>
      </c>
      <c r="M50" s="1"/>
      <c r="N50" s="1"/>
    </row>
    <row r="51" spans="1:14" x14ac:dyDescent="0.3">
      <c r="A51" s="1" t="s">
        <v>448</v>
      </c>
      <c r="B51" s="3" t="str" cm="1">
        <f t="array" ref="B51">_xlfn.XLOOKUP(tbMedições[[#This Row],[EMPRESA]]&amp;tbMedições[[#This Row],[OBRA]],tbContratos[EMPRESA]&amp;tbContratos[OBRA],tbContratos[CONTRATO_ID],"Não localizado")</f>
        <v>CT008</v>
      </c>
      <c r="C51" s="1" t="s">
        <v>83</v>
      </c>
      <c r="D51" s="1" t="s">
        <v>59</v>
      </c>
      <c r="E51" s="2" t="s">
        <v>401</v>
      </c>
      <c r="F51" s="2">
        <v>9.1954022988505746E-2</v>
      </c>
      <c r="G51" s="4">
        <v>46262</v>
      </c>
      <c r="H51" s="1"/>
      <c r="I5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46262</v>
      </c>
      <c r="J51" s="4" t="str">
        <f>TEXT(tbMedições[[#This Row],[DATA REFERÊNCIA]],"aa/mm")</f>
        <v>26/08</v>
      </c>
      <c r="K51" s="12">
        <f>_xlfn.XLOOKUP(tbMedições[[#This Row],[CONTRATO_ID]],tbContratos[CONTRATO_ID],tbContratos[VALOR CONTRATO],"Não encontrado")*tbMedições[[#This Row],[PERCENTUAL]]</f>
        <v>2666.6666666666665</v>
      </c>
      <c r="L51" s="1" t="s">
        <v>664</v>
      </c>
      <c r="M51" s="1"/>
      <c r="N51" s="1"/>
    </row>
    <row r="52" spans="1:14" x14ac:dyDescent="0.3">
      <c r="A52" s="1" t="s">
        <v>449</v>
      </c>
      <c r="B52" s="3" t="str" cm="1">
        <f t="array" ref="B52">_xlfn.XLOOKUP(tbMedições[[#This Row],[EMPRESA]]&amp;tbMedições[[#This Row],[OBRA]],tbContratos[EMPRESA]&amp;tbContratos[OBRA],tbContratos[CONTRATO_ID],"Não localizado")</f>
        <v>CT008</v>
      </c>
      <c r="C52" s="1" t="s">
        <v>83</v>
      </c>
      <c r="D52" s="1" t="s">
        <v>59</v>
      </c>
      <c r="E52" s="2" t="s">
        <v>402</v>
      </c>
      <c r="F52" s="2">
        <v>9.1954022988505746E-2</v>
      </c>
      <c r="G52" s="4">
        <v>46293</v>
      </c>
      <c r="H52" s="1"/>
      <c r="I5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46293</v>
      </c>
      <c r="J52" s="4" t="str">
        <f>TEXT(tbMedições[[#This Row],[DATA REFERÊNCIA]],"aa/mm")</f>
        <v>26/09</v>
      </c>
      <c r="K52" s="12">
        <f>_xlfn.XLOOKUP(tbMedições[[#This Row],[CONTRATO_ID]],tbContratos[CONTRATO_ID],tbContratos[VALOR CONTRATO],"Não encontrado")*tbMedições[[#This Row],[PERCENTUAL]]</f>
        <v>2666.6666666666665</v>
      </c>
      <c r="L52" s="1" t="s">
        <v>664</v>
      </c>
      <c r="M52" s="1"/>
      <c r="N52" s="1"/>
    </row>
    <row r="53" spans="1:14" x14ac:dyDescent="0.3">
      <c r="A53" s="1" t="s">
        <v>450</v>
      </c>
      <c r="B53" s="3" t="str" cm="1">
        <f t="array" ref="B53">_xlfn.XLOOKUP(tbMedições[[#This Row],[EMPRESA]]&amp;tbMedições[[#This Row],[OBRA]],tbContratos[EMPRESA]&amp;tbContratos[OBRA],tbContratos[CONTRATO_ID],"Não localizado")</f>
        <v>CT009</v>
      </c>
      <c r="C53" s="1" t="s">
        <v>83</v>
      </c>
      <c r="D53" s="1" t="s">
        <v>56</v>
      </c>
      <c r="E53" s="2" t="s">
        <v>395</v>
      </c>
      <c r="F53" s="2">
        <v>0.2</v>
      </c>
      <c r="G53" s="3"/>
      <c r="H53" s="4">
        <v>46198</v>
      </c>
      <c r="I5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46198</v>
      </c>
      <c r="J53" s="4" t="str">
        <f>TEXT(tbMedições[[#This Row],[DATA REFERÊNCIA]],"aa/mm")</f>
        <v>26/06</v>
      </c>
      <c r="K53" s="12">
        <f>_xlfn.XLOOKUP(tbMedições[[#This Row],[CONTRATO_ID]],tbContratos[CONTRATO_ID],tbContratos[VALOR CONTRATO],"Não encontrado")*tbMedições[[#This Row],[PERCENTUAL]]</f>
        <v>14000</v>
      </c>
      <c r="L53" s="1" t="s">
        <v>19</v>
      </c>
      <c r="M53" s="1"/>
      <c r="N53" s="1"/>
    </row>
    <row r="54" spans="1:14" x14ac:dyDescent="0.3">
      <c r="A54" s="1" t="s">
        <v>451</v>
      </c>
      <c r="B54" s="3" t="str" cm="1">
        <f t="array" ref="B54">_xlfn.XLOOKUP(tbMedições[[#This Row],[EMPRESA]]&amp;tbMedições[[#This Row],[OBRA]],tbContratos[EMPRESA]&amp;tbContratos[OBRA],tbContratos[CONTRATO_ID],"Não localizado")</f>
        <v>CT009</v>
      </c>
      <c r="C54" s="1" t="s">
        <v>83</v>
      </c>
      <c r="D54" s="1" t="s">
        <v>56</v>
      </c>
      <c r="E54" s="2" t="s">
        <v>396</v>
      </c>
      <c r="F54" s="2">
        <v>0.2</v>
      </c>
      <c r="G54" s="4">
        <v>46259</v>
      </c>
      <c r="H54" s="1"/>
      <c r="I5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46259</v>
      </c>
      <c r="J54" s="4" t="str">
        <f>TEXT(tbMedições[[#This Row],[DATA REFERÊNCIA]],"aa/mm")</f>
        <v>26/08</v>
      </c>
      <c r="K54" s="12">
        <f>_xlfn.XLOOKUP(tbMedições[[#This Row],[CONTRATO_ID]],tbContratos[CONTRATO_ID],tbContratos[VALOR CONTRATO],"Não encontrado")*tbMedições[[#This Row],[PERCENTUAL]]</f>
        <v>14000</v>
      </c>
      <c r="L54" s="1" t="s">
        <v>664</v>
      </c>
      <c r="M54" s="1"/>
      <c r="N54" s="1"/>
    </row>
    <row r="55" spans="1:14" x14ac:dyDescent="0.3">
      <c r="A55" s="1" t="s">
        <v>452</v>
      </c>
      <c r="B55" s="3" t="str" cm="1">
        <f t="array" ref="B55">_xlfn.XLOOKUP(tbMedições[[#This Row],[EMPRESA]]&amp;tbMedições[[#This Row],[OBRA]],tbContratos[EMPRESA]&amp;tbContratos[OBRA],tbContratos[CONTRATO_ID],"Não localizado")</f>
        <v>CT009</v>
      </c>
      <c r="C55" s="1" t="s">
        <v>83</v>
      </c>
      <c r="D55" s="1" t="s">
        <v>56</v>
      </c>
      <c r="E55" s="2" t="s">
        <v>397</v>
      </c>
      <c r="F55" s="2">
        <v>0.2</v>
      </c>
      <c r="G55" s="4">
        <v>46320</v>
      </c>
      <c r="H55" s="1"/>
      <c r="I5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46320</v>
      </c>
      <c r="J55" s="4" t="str">
        <f>TEXT(tbMedições[[#This Row],[DATA REFERÊNCIA]],"aa/mm")</f>
        <v>26/10</v>
      </c>
      <c r="K55" s="12">
        <f>_xlfn.XLOOKUP(tbMedições[[#This Row],[CONTRATO_ID]],tbContratos[CONTRATO_ID],tbContratos[VALOR CONTRATO],"Não encontrado")*tbMedições[[#This Row],[PERCENTUAL]]</f>
        <v>14000</v>
      </c>
      <c r="L55" s="1" t="s">
        <v>664</v>
      </c>
      <c r="M55" s="1"/>
      <c r="N55" s="1"/>
    </row>
    <row r="56" spans="1:14" x14ac:dyDescent="0.3">
      <c r="A56" s="1" t="s">
        <v>453</v>
      </c>
      <c r="B56" s="3" t="str" cm="1">
        <f t="array" ref="B56">_xlfn.XLOOKUP(tbMedições[[#This Row],[EMPRESA]]&amp;tbMedições[[#This Row],[OBRA]],tbContratos[EMPRESA]&amp;tbContratos[OBRA],tbContratos[CONTRATO_ID],"Não localizado")</f>
        <v>CT009</v>
      </c>
      <c r="C56" s="1" t="s">
        <v>83</v>
      </c>
      <c r="D56" s="1" t="s">
        <v>56</v>
      </c>
      <c r="E56" s="2" t="s">
        <v>398</v>
      </c>
      <c r="F56" s="2">
        <v>0.2</v>
      </c>
      <c r="G56" s="4">
        <v>46351</v>
      </c>
      <c r="H56" s="1"/>
      <c r="I5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46351</v>
      </c>
      <c r="J56" s="4" t="str">
        <f>TEXT(tbMedições[[#This Row],[DATA REFERÊNCIA]],"aa/mm")</f>
        <v>26/11</v>
      </c>
      <c r="K56" s="12">
        <f>_xlfn.XLOOKUP(tbMedições[[#This Row],[CONTRATO_ID]],tbContratos[CONTRATO_ID],tbContratos[VALOR CONTRATO],"Não encontrado")*tbMedições[[#This Row],[PERCENTUAL]]</f>
        <v>14000</v>
      </c>
      <c r="L56" s="1" t="s">
        <v>664</v>
      </c>
      <c r="M56" s="1"/>
      <c r="N56" s="1"/>
    </row>
    <row r="57" spans="1:14" x14ac:dyDescent="0.3">
      <c r="A57" s="1" t="s">
        <v>454</v>
      </c>
      <c r="B57" s="3" t="str" cm="1">
        <f t="array" ref="B57">_xlfn.XLOOKUP(tbMedições[[#This Row],[EMPRESA]]&amp;tbMedições[[#This Row],[OBRA]],tbContratos[EMPRESA]&amp;tbContratos[OBRA],tbContratos[CONTRATO_ID],"Não localizado")</f>
        <v>CT009</v>
      </c>
      <c r="C57" s="1" t="s">
        <v>83</v>
      </c>
      <c r="D57" s="1" t="s">
        <v>56</v>
      </c>
      <c r="E57" s="2" t="s">
        <v>399</v>
      </c>
      <c r="F57" s="2">
        <v>0.2</v>
      </c>
      <c r="G57" s="4">
        <v>46381</v>
      </c>
      <c r="H57" s="1"/>
      <c r="I5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46381</v>
      </c>
      <c r="J57" s="4" t="str">
        <f>TEXT(tbMedições[[#This Row],[DATA REFERÊNCIA]],"aa/mm")</f>
        <v>26/12</v>
      </c>
      <c r="K57" s="12">
        <f>_xlfn.XLOOKUP(tbMedições[[#This Row],[CONTRATO_ID]],tbContratos[CONTRATO_ID],tbContratos[VALOR CONTRATO],"Não encontrado")*tbMedições[[#This Row],[PERCENTUAL]]</f>
        <v>14000</v>
      </c>
      <c r="L57" s="1" t="s">
        <v>664</v>
      </c>
      <c r="M57" s="1"/>
      <c r="N57" s="1"/>
    </row>
    <row r="58" spans="1:14" x14ac:dyDescent="0.3">
      <c r="A58" s="1" t="s">
        <v>455</v>
      </c>
      <c r="B58" s="3" t="str" cm="1">
        <f t="array" ref="B58">_xlfn.XLOOKUP(tbMedições[[#This Row],[EMPRESA]]&amp;tbMedições[[#This Row],[OBRA]],tbContratos[EMPRESA]&amp;tbContratos[OBRA],tbContratos[CONTRATO_ID],"Não localizado")</f>
        <v>CT010</v>
      </c>
      <c r="C58" s="1" t="s">
        <v>84</v>
      </c>
      <c r="D58" s="1" t="s">
        <v>47</v>
      </c>
      <c r="E58" s="2" t="s">
        <v>11</v>
      </c>
      <c r="F58" s="2">
        <v>0.17468354430379746</v>
      </c>
      <c r="G58" s="3"/>
      <c r="H58" s="4">
        <v>46184</v>
      </c>
      <c r="I5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46184</v>
      </c>
      <c r="J58" s="4" t="str">
        <f>TEXT(tbMedições[[#This Row],[DATA REFERÊNCIA]],"aa/mm")</f>
        <v>26/06</v>
      </c>
      <c r="K58" s="12">
        <f>_xlfn.XLOOKUP(tbMedições[[#This Row],[CONTRATO_ID]],tbContratos[CONTRATO_ID],tbContratos[VALOR CONTRATO],"Não encontrado")*tbMedições[[#This Row],[PERCENTUAL]]</f>
        <v>6899.9999999999991</v>
      </c>
      <c r="L58" s="1" t="s">
        <v>19</v>
      </c>
      <c r="M58" s="1"/>
      <c r="N58" s="1"/>
    </row>
    <row r="59" spans="1:14" x14ac:dyDescent="0.3">
      <c r="A59" s="1" t="s">
        <v>456</v>
      </c>
      <c r="B59" s="3" t="str" cm="1">
        <f t="array" ref="B59">_xlfn.XLOOKUP(tbMedições[[#This Row],[EMPRESA]]&amp;tbMedições[[#This Row],[OBRA]],tbContratos[EMPRESA]&amp;tbContratos[OBRA],tbContratos[CONTRATO_ID],"Não localizado")</f>
        <v>CT010</v>
      </c>
      <c r="C59" s="1" t="s">
        <v>84</v>
      </c>
      <c r="D59" s="1" t="s">
        <v>47</v>
      </c>
      <c r="E59" s="2" t="s">
        <v>12</v>
      </c>
      <c r="F59" s="2">
        <v>0.34936708860759491</v>
      </c>
      <c r="G59" s="3"/>
      <c r="H59" s="4">
        <v>46184</v>
      </c>
      <c r="I5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46184</v>
      </c>
      <c r="J59" s="4" t="str">
        <f>TEXT(tbMedições[[#This Row],[DATA REFERÊNCIA]],"aa/mm")</f>
        <v>26/06</v>
      </c>
      <c r="K59" s="12">
        <f>_xlfn.XLOOKUP(tbMedições[[#This Row],[CONTRATO_ID]],tbContratos[CONTRATO_ID],tbContratos[VALOR CONTRATO],"Não encontrado")*tbMedições[[#This Row],[PERCENTUAL]]</f>
        <v>13799.999999999998</v>
      </c>
      <c r="L59" s="1" t="s">
        <v>19</v>
      </c>
      <c r="M59" s="1"/>
      <c r="N59" s="1"/>
    </row>
    <row r="60" spans="1:14" x14ac:dyDescent="0.3">
      <c r="A60" s="1" t="s">
        <v>457</v>
      </c>
      <c r="B60" s="3" t="str" cm="1">
        <f t="array" ref="B60">_xlfn.XLOOKUP(tbMedições[[#This Row],[EMPRESA]]&amp;tbMedições[[#This Row],[OBRA]],tbContratos[EMPRESA]&amp;tbContratos[OBRA],tbContratos[CONTRATO_ID],"Não localizado")</f>
        <v>CT010</v>
      </c>
      <c r="C60" s="1" t="s">
        <v>84</v>
      </c>
      <c r="D60" s="1" t="s">
        <v>47</v>
      </c>
      <c r="E60" s="2" t="s">
        <v>13</v>
      </c>
      <c r="F60" s="2">
        <v>0.17468354430379746</v>
      </c>
      <c r="G60" s="4">
        <v>46254</v>
      </c>
      <c r="H60" s="1"/>
      <c r="I6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60" s="4" t="str">
        <f>TEXT(tbMedições[[#This Row],[DATA REFERÊNCIA]],"aa/mm")</f>
        <v>26/08</v>
      </c>
      <c r="K60" s="12">
        <f>_xlfn.XLOOKUP(tbMedições[[#This Row],[CONTRATO_ID]],tbContratos[CONTRATO_ID],tbContratos[VALOR CONTRATO],"Não encontrado")*tbMedições[[#This Row],[PERCENTUAL]]</f>
        <v>6899.9999999999991</v>
      </c>
      <c r="L60" s="1" t="s">
        <v>664</v>
      </c>
      <c r="M60" s="1"/>
      <c r="N60" s="1"/>
    </row>
    <row r="61" spans="1:14" x14ac:dyDescent="0.3">
      <c r="A61" s="1" t="s">
        <v>458</v>
      </c>
      <c r="B61" s="3" t="str" cm="1">
        <f t="array" ref="B61">_xlfn.XLOOKUP(tbMedições[[#This Row],[EMPRESA]]&amp;tbMedições[[#This Row],[OBRA]],tbContratos[EMPRESA]&amp;tbContratos[OBRA],tbContratos[CONTRATO_ID],"Não localizado")</f>
        <v>CT010</v>
      </c>
      <c r="C61" s="1" t="s">
        <v>84</v>
      </c>
      <c r="D61" s="1" t="s">
        <v>47</v>
      </c>
      <c r="E61" s="2" t="s">
        <v>14</v>
      </c>
      <c r="F61" s="2">
        <v>0.17468354430379746</v>
      </c>
      <c r="G61" s="4">
        <v>46315</v>
      </c>
      <c r="H61" s="1"/>
      <c r="I6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61" s="4" t="str">
        <f>TEXT(tbMedições[[#This Row],[DATA REFERÊNCIA]],"aa/mm")</f>
        <v>26/10</v>
      </c>
      <c r="K61" s="12">
        <f>_xlfn.XLOOKUP(tbMedições[[#This Row],[CONTRATO_ID]],tbContratos[CONTRATO_ID],tbContratos[VALOR CONTRATO],"Não encontrado")*tbMedições[[#This Row],[PERCENTUAL]]</f>
        <v>6899.9999999999991</v>
      </c>
      <c r="L61" s="1" t="s">
        <v>664</v>
      </c>
      <c r="M61" s="1"/>
      <c r="N61" s="1"/>
    </row>
    <row r="62" spans="1:14" x14ac:dyDescent="0.3">
      <c r="A62" s="1" t="s">
        <v>459</v>
      </c>
      <c r="B62" s="3" t="str" cm="1">
        <f t="array" ref="B62">_xlfn.XLOOKUP(tbMedições[[#This Row],[EMPRESA]]&amp;tbMedições[[#This Row],[OBRA]],tbContratos[EMPRESA]&amp;tbContratos[OBRA],tbContratos[CONTRATO_ID],"Não localizado")</f>
        <v>CT010</v>
      </c>
      <c r="C62" s="1" t="s">
        <v>84</v>
      </c>
      <c r="D62" s="1" t="s">
        <v>47</v>
      </c>
      <c r="E62" s="2" t="s">
        <v>22</v>
      </c>
      <c r="F62" s="2">
        <v>0.12658227848101267</v>
      </c>
      <c r="G62" s="4">
        <v>46376</v>
      </c>
      <c r="H62" s="1"/>
      <c r="I6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46376</v>
      </c>
      <c r="J62" s="4" t="str">
        <f>TEXT(tbMedições[[#This Row],[DATA REFERÊNCIA]],"aa/mm")</f>
        <v>26/12</v>
      </c>
      <c r="K62" s="12">
        <f>_xlfn.XLOOKUP(tbMedições[[#This Row],[CONTRATO_ID]],tbContratos[CONTRATO_ID],tbContratos[VALOR CONTRATO],"Não encontrado")*tbMedições[[#This Row],[PERCENTUAL]]</f>
        <v>5000</v>
      </c>
      <c r="L62" s="1" t="s">
        <v>664</v>
      </c>
      <c r="M62" s="1"/>
      <c r="N62" s="1"/>
    </row>
    <row r="63" spans="1:14" x14ac:dyDescent="0.3">
      <c r="A63" s="1" t="s">
        <v>460</v>
      </c>
      <c r="B63" s="3" t="str" cm="1">
        <f t="array" ref="B63">_xlfn.XLOOKUP(tbMedições[[#This Row],[EMPRESA]]&amp;tbMedições[[#This Row],[OBRA]],tbContratos[EMPRESA]&amp;tbContratos[OBRA],tbContratos[CONTRATO_ID],"Não localizado")</f>
        <v>CT011</v>
      </c>
      <c r="C63" s="1" t="s">
        <v>85</v>
      </c>
      <c r="D63" s="1" t="s">
        <v>47</v>
      </c>
      <c r="E63" s="2" t="s">
        <v>49</v>
      </c>
      <c r="F63" s="2">
        <v>1</v>
      </c>
      <c r="G63" s="3"/>
      <c r="H63" s="4">
        <v>46175</v>
      </c>
      <c r="I6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46175</v>
      </c>
      <c r="J63" s="4" t="str">
        <f>TEXT(tbMedições[[#This Row],[DATA REFERÊNCIA]],"aa/mm")</f>
        <v>26/06</v>
      </c>
      <c r="K63" s="12">
        <f>_xlfn.XLOOKUP(tbMedições[[#This Row],[CONTRATO_ID]],tbContratos[CONTRATO_ID],tbContratos[VALOR CONTRATO],"Não encontrado")*tbMedições[[#This Row],[PERCENTUAL]]</f>
        <v>17500.650000000001</v>
      </c>
      <c r="L63" s="1" t="s">
        <v>19</v>
      </c>
      <c r="M63" s="1"/>
      <c r="N63" s="1"/>
    </row>
    <row r="64" spans="1:14" x14ac:dyDescent="0.3">
      <c r="A64" s="1" t="s">
        <v>461</v>
      </c>
      <c r="B64" s="3" t="str" cm="1">
        <f t="array" ref="B64">_xlfn.XLOOKUP(tbMedições[[#This Row],[EMPRESA]]&amp;tbMedições[[#This Row],[OBRA]],tbContratos[EMPRESA]&amp;tbContratos[OBRA],tbContratos[CONTRATO_ID],"Não localizado")</f>
        <v>CT012</v>
      </c>
      <c r="C64" s="1" t="s">
        <v>85</v>
      </c>
      <c r="D64" s="1" t="s">
        <v>56</v>
      </c>
      <c r="E64" s="2" t="s">
        <v>49</v>
      </c>
      <c r="F64" s="2">
        <v>1</v>
      </c>
      <c r="G64" s="3"/>
      <c r="H64" s="4">
        <v>46206</v>
      </c>
      <c r="I6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46206</v>
      </c>
      <c r="J64" s="4" t="str">
        <f>TEXT(tbMedições[[#This Row],[DATA REFERÊNCIA]],"aa/mm")</f>
        <v>26/07</v>
      </c>
      <c r="K64" s="12">
        <f>_xlfn.XLOOKUP(tbMedições[[#This Row],[CONTRATO_ID]],tbContratos[CONTRATO_ID],tbContratos[VALOR CONTRATO],"Não encontrado")*tbMedições[[#This Row],[PERCENTUAL]]</f>
        <v>25313.279999999999</v>
      </c>
      <c r="L64" s="1" t="s">
        <v>19</v>
      </c>
      <c r="M64" s="1"/>
      <c r="N64" s="1"/>
    </row>
    <row r="65" spans="1:14" x14ac:dyDescent="0.3">
      <c r="A65" s="1" t="s">
        <v>462</v>
      </c>
      <c r="B65" s="3" t="str" cm="1">
        <f t="array" ref="B65">_xlfn.XLOOKUP(tbMedições[[#This Row],[EMPRESA]]&amp;tbMedições[[#This Row],[OBRA]],tbContratos[EMPRESA]&amp;tbContratos[OBRA],tbContratos[CONTRATO_ID],"Não localizado")</f>
        <v>CT013</v>
      </c>
      <c r="C65" s="1" t="s">
        <v>85</v>
      </c>
      <c r="D65" s="1" t="s">
        <v>57</v>
      </c>
      <c r="E65" s="2" t="s">
        <v>49</v>
      </c>
      <c r="F65" s="2">
        <v>1</v>
      </c>
      <c r="G65" s="3"/>
      <c r="H65" s="4">
        <v>46213</v>
      </c>
      <c r="I6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46213</v>
      </c>
      <c r="J65" s="4" t="str">
        <f>TEXT(tbMedições[[#This Row],[DATA REFERÊNCIA]],"aa/mm")</f>
        <v>26/07</v>
      </c>
      <c r="K65" s="12">
        <f>_xlfn.XLOOKUP(tbMedições[[#This Row],[CONTRATO_ID]],tbContratos[CONTRATO_ID],tbContratos[VALOR CONTRATO],"Não encontrado")*tbMedições[[#This Row],[PERCENTUAL]]</f>
        <v>23556.1</v>
      </c>
      <c r="L65" s="1" t="s">
        <v>394</v>
      </c>
      <c r="M65" s="1"/>
      <c r="N65" s="1"/>
    </row>
    <row r="66" spans="1:14" x14ac:dyDescent="0.3">
      <c r="A66" s="1" t="s">
        <v>463</v>
      </c>
      <c r="B66" s="3" t="str" cm="1">
        <f t="array" ref="B66">_xlfn.XLOOKUP(tbMedições[[#This Row],[EMPRESA]]&amp;tbMedições[[#This Row],[OBRA]],tbContratos[EMPRESA]&amp;tbContratos[OBRA],tbContratos[CONTRATO_ID],"Não localizado")</f>
        <v>CT014</v>
      </c>
      <c r="C66" s="1" t="s">
        <v>89</v>
      </c>
      <c r="D66" s="1" t="s">
        <v>47</v>
      </c>
      <c r="E66" s="2" t="s">
        <v>403</v>
      </c>
      <c r="F66" s="2">
        <v>1</v>
      </c>
      <c r="G66" s="3"/>
      <c r="H66" s="4">
        <v>46175</v>
      </c>
      <c r="I6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46175</v>
      </c>
      <c r="J66" s="4" t="str">
        <f>TEXT(tbMedições[[#This Row],[DATA REFERÊNCIA]],"aa/mm")</f>
        <v>26/06</v>
      </c>
      <c r="K66" s="12">
        <f>_xlfn.XLOOKUP(tbMedições[[#This Row],[CONTRATO_ID]],tbContratos[CONTRATO_ID],tbContratos[VALOR CONTRATO],"Não encontrado")*tbMedições[[#This Row],[PERCENTUAL]]</f>
        <v>1800</v>
      </c>
      <c r="L66" s="1" t="s">
        <v>19</v>
      </c>
      <c r="M66" s="1"/>
      <c r="N66" s="1"/>
    </row>
    <row r="67" spans="1:14" x14ac:dyDescent="0.3">
      <c r="A67" s="1" t="s">
        <v>464</v>
      </c>
      <c r="B67" s="3" t="str" cm="1">
        <f t="array" ref="B67">_xlfn.XLOOKUP(tbMedições[[#This Row],[EMPRESA]]&amp;tbMedições[[#This Row],[OBRA]],tbContratos[EMPRESA]&amp;tbContratos[OBRA],tbContratos[CONTRATO_ID],"Não localizado")</f>
        <v>CT015</v>
      </c>
      <c r="C67" s="1" t="s">
        <v>89</v>
      </c>
      <c r="D67" s="1" t="s">
        <v>56</v>
      </c>
      <c r="E67" s="2" t="s">
        <v>403</v>
      </c>
      <c r="F67" s="2">
        <v>1</v>
      </c>
      <c r="G67" s="3"/>
      <c r="H67" s="4">
        <v>46197</v>
      </c>
      <c r="I6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46197</v>
      </c>
      <c r="J67" s="4" t="str">
        <f>TEXT(tbMedições[[#This Row],[DATA REFERÊNCIA]],"aa/mm")</f>
        <v>26/06</v>
      </c>
      <c r="K67" s="12">
        <f>_xlfn.XLOOKUP(tbMedições[[#This Row],[CONTRATO_ID]],tbContratos[CONTRATO_ID],tbContratos[VALOR CONTRATO],"Não encontrado")*tbMedições[[#This Row],[PERCENTUAL]]</f>
        <v>3600</v>
      </c>
      <c r="L67" s="1" t="s">
        <v>19</v>
      </c>
      <c r="M67" s="1"/>
      <c r="N67" s="1"/>
    </row>
    <row r="68" spans="1:14" x14ac:dyDescent="0.3">
      <c r="A68" s="1" t="s">
        <v>465</v>
      </c>
      <c r="B68" s="3" t="str" cm="1">
        <f t="array" ref="B68">_xlfn.XLOOKUP(tbMedições[[#This Row],[EMPRESA]]&amp;tbMedições[[#This Row],[OBRA]],tbContratos[EMPRESA]&amp;tbContratos[OBRA],tbContratos[CONTRATO_ID],"Não localizado")</f>
        <v>CT016</v>
      </c>
      <c r="C68" s="1" t="s">
        <v>90</v>
      </c>
      <c r="D68" s="1" t="s">
        <v>47</v>
      </c>
      <c r="E68" s="2" t="s">
        <v>405</v>
      </c>
      <c r="F68" s="2">
        <v>1</v>
      </c>
      <c r="G68" s="3"/>
      <c r="H68" s="4">
        <v>46170</v>
      </c>
      <c r="I6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46170</v>
      </c>
      <c r="J68" s="4" t="str">
        <f>TEXT(tbMedições[[#This Row],[DATA REFERÊNCIA]],"aa/mm")</f>
        <v>26/05</v>
      </c>
      <c r="K68" s="12">
        <f>_xlfn.XLOOKUP(tbMedições[[#This Row],[CONTRATO_ID]],tbContratos[CONTRATO_ID],tbContratos[VALOR CONTRATO],"Não encontrado")*tbMedições[[#This Row],[PERCENTUAL]]</f>
        <v>2580</v>
      </c>
      <c r="L68" s="1" t="s">
        <v>19</v>
      </c>
      <c r="M68" s="1"/>
      <c r="N68" s="1"/>
    </row>
    <row r="69" spans="1:14" x14ac:dyDescent="0.3">
      <c r="A69" s="1" t="s">
        <v>466</v>
      </c>
      <c r="B69" s="3" t="str" cm="1">
        <f t="array" ref="B69">_xlfn.XLOOKUP(tbMedições[[#This Row],[EMPRESA]]&amp;tbMedições[[#This Row],[OBRA]],tbContratos[EMPRESA]&amp;tbContratos[OBRA],tbContratos[CONTRATO_ID],"Não localizado")</f>
        <v>CT017</v>
      </c>
      <c r="C69" s="1" t="s">
        <v>90</v>
      </c>
      <c r="D69" s="1" t="s">
        <v>56</v>
      </c>
      <c r="E69" s="2" t="s">
        <v>405</v>
      </c>
      <c r="F69" s="2">
        <v>1</v>
      </c>
      <c r="G69" s="3"/>
      <c r="H69" s="4">
        <v>46199</v>
      </c>
      <c r="I6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46199</v>
      </c>
      <c r="J69" s="4" t="str">
        <f>TEXT(tbMedições[[#This Row],[DATA REFERÊNCIA]],"aa/mm")</f>
        <v>26/06</v>
      </c>
      <c r="K69" s="12">
        <f>_xlfn.XLOOKUP(tbMedições[[#This Row],[CONTRATO_ID]],tbContratos[CONTRATO_ID],tbContratos[VALOR CONTRATO],"Não encontrado")*tbMedições[[#This Row],[PERCENTUAL]]</f>
        <v>3640</v>
      </c>
      <c r="L69" s="1" t="s">
        <v>19</v>
      </c>
      <c r="M69" s="1"/>
      <c r="N69" s="1"/>
    </row>
    <row r="70" spans="1:14" x14ac:dyDescent="0.3">
      <c r="A70" s="1" t="s">
        <v>467</v>
      </c>
      <c r="B70" s="3" t="str" cm="1">
        <f t="array" ref="B70">_xlfn.XLOOKUP(tbMedições[[#This Row],[EMPRESA]]&amp;tbMedições[[#This Row],[OBRA]],tbContratos[EMPRESA]&amp;tbContratos[OBRA],tbContratos[CONTRATO_ID],"Não localizado")</f>
        <v>CT018</v>
      </c>
      <c r="C70" s="1" t="s">
        <v>98</v>
      </c>
      <c r="D70" s="1" t="s">
        <v>47</v>
      </c>
      <c r="E70" s="2" t="s">
        <v>30</v>
      </c>
      <c r="F70" s="2">
        <v>0.43956043956043955</v>
      </c>
      <c r="G70" s="3"/>
      <c r="H70" s="4">
        <v>45140</v>
      </c>
      <c r="I7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45140</v>
      </c>
      <c r="J70" s="4" t="str">
        <f>TEXT(tbMedições[[#This Row],[DATA REFERÊNCIA]],"aa/mm")</f>
        <v>23/08</v>
      </c>
      <c r="K70" s="12">
        <f>_xlfn.XLOOKUP(tbMedições[[#This Row],[CONTRATO_ID]],tbContratos[CONTRATO_ID],tbContratos[VALOR CONTRATO],"Não encontrado")*tbMedições[[#This Row],[PERCENTUAL]]</f>
        <v>2000</v>
      </c>
      <c r="L70" s="1" t="s">
        <v>19</v>
      </c>
      <c r="M70" s="1"/>
      <c r="N70" s="1"/>
    </row>
    <row r="71" spans="1:14" x14ac:dyDescent="0.3">
      <c r="A71" s="1" t="s">
        <v>468</v>
      </c>
      <c r="B71" s="3" t="str" cm="1">
        <f t="array" ref="B71">_xlfn.XLOOKUP(tbMedições[[#This Row],[EMPRESA]]&amp;tbMedições[[#This Row],[OBRA]],tbContratos[EMPRESA]&amp;tbContratos[OBRA],tbContratos[CONTRATO_ID],"Não localizado")</f>
        <v>CT018</v>
      </c>
      <c r="C71" s="1" t="s">
        <v>98</v>
      </c>
      <c r="D71" s="1" t="s">
        <v>47</v>
      </c>
      <c r="E71" s="2" t="s">
        <v>30</v>
      </c>
      <c r="F71" s="2">
        <v>0.31868131868131866</v>
      </c>
      <c r="G71" s="3"/>
      <c r="H71" s="4">
        <v>45140</v>
      </c>
      <c r="I7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45140</v>
      </c>
      <c r="J71" s="4" t="str">
        <f>TEXT(tbMedições[[#This Row],[DATA REFERÊNCIA]],"aa/mm")</f>
        <v>23/08</v>
      </c>
      <c r="K71" s="12">
        <f>_xlfn.XLOOKUP(tbMedições[[#This Row],[CONTRATO_ID]],tbContratos[CONTRATO_ID],tbContratos[VALOR CONTRATO],"Não encontrado")*tbMedições[[#This Row],[PERCENTUAL]]</f>
        <v>1450</v>
      </c>
      <c r="L71" s="1" t="s">
        <v>19</v>
      </c>
      <c r="M71" s="1"/>
      <c r="N71" s="1"/>
    </row>
    <row r="72" spans="1:14" x14ac:dyDescent="0.3">
      <c r="A72" s="1" t="s">
        <v>469</v>
      </c>
      <c r="B72" s="3" t="str" cm="1">
        <f t="array" ref="B72">_xlfn.XLOOKUP(tbMedições[[#This Row],[EMPRESA]]&amp;tbMedições[[#This Row],[OBRA]],tbContratos[EMPRESA]&amp;tbContratos[OBRA],tbContratos[CONTRATO_ID],"Não localizado")</f>
        <v>CT018</v>
      </c>
      <c r="C72" s="1" t="s">
        <v>98</v>
      </c>
      <c r="D72" s="1" t="s">
        <v>47</v>
      </c>
      <c r="E72" s="2" t="s">
        <v>30</v>
      </c>
      <c r="F72" s="2">
        <v>0.24175824175824176</v>
      </c>
      <c r="G72" s="3"/>
      <c r="H72" s="4">
        <v>45804</v>
      </c>
      <c r="I7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45804</v>
      </c>
      <c r="J72" s="4" t="str">
        <f>TEXT(tbMedições[[#This Row],[DATA REFERÊNCIA]],"aa/mm")</f>
        <v>25/05</v>
      </c>
      <c r="K72" s="12">
        <f>_xlfn.XLOOKUP(tbMedições[[#This Row],[CONTRATO_ID]],tbContratos[CONTRATO_ID],tbContratos[VALOR CONTRATO],"Não encontrado")*tbMedições[[#This Row],[PERCENTUAL]]</f>
        <v>1100</v>
      </c>
      <c r="L72" s="1" t="s">
        <v>19</v>
      </c>
      <c r="M72" s="1"/>
      <c r="N72" s="1"/>
    </row>
    <row r="73" spans="1:14" x14ac:dyDescent="0.3">
      <c r="A73" s="1" t="s">
        <v>470</v>
      </c>
      <c r="B73" s="3" t="str" cm="1">
        <f t="array" ref="B73">_xlfn.XLOOKUP(tbMedições[[#This Row],[EMPRESA]]&amp;tbMedições[[#This Row],[OBRA]],tbContratos[EMPRESA]&amp;tbContratos[OBRA],tbContratos[CONTRATO_ID],"Não localizado")</f>
        <v>CT019</v>
      </c>
      <c r="C73" s="1" t="s">
        <v>99</v>
      </c>
      <c r="D73" s="1" t="s">
        <v>56</v>
      </c>
      <c r="E73" s="2" t="s">
        <v>30</v>
      </c>
      <c r="F73" s="2">
        <v>1</v>
      </c>
      <c r="G73" s="3"/>
      <c r="H73" s="4">
        <v>46072</v>
      </c>
      <c r="I7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73" s="4" t="str">
        <f>TEXT(tbMedições[[#This Row],[DATA REFERÊNCIA]],"aa/mm")</f>
        <v>26/02</v>
      </c>
      <c r="K73" s="12">
        <f>_xlfn.XLOOKUP(tbMedições[[#This Row],[CONTRATO_ID]],tbContratos[CONTRATO_ID],tbContratos[VALOR CONTRATO],"Não encontrado")*tbMedições[[#This Row],[PERCENTUAL]]</f>
        <v>2850</v>
      </c>
      <c r="L73" s="1" t="s">
        <v>19</v>
      </c>
      <c r="M73" s="1"/>
      <c r="N73" s="1"/>
    </row>
    <row r="74" spans="1:14" x14ac:dyDescent="0.3">
      <c r="A74" s="1" t="s">
        <v>471</v>
      </c>
      <c r="B74" s="3" t="str" cm="1">
        <f t="array" ref="B74">_xlfn.XLOOKUP(tbMedições[[#This Row],[EMPRESA]]&amp;tbMedições[[#This Row],[OBRA]],tbContratos[EMPRESA]&amp;tbContratos[OBRA],tbContratos[CONTRATO_ID],"Não localizado")</f>
        <v>CT020</v>
      </c>
      <c r="C74" s="1" t="s">
        <v>99</v>
      </c>
      <c r="D74" s="1" t="s">
        <v>57</v>
      </c>
      <c r="E74" s="2" t="s">
        <v>31</v>
      </c>
      <c r="F74" s="2">
        <v>1</v>
      </c>
      <c r="G74" s="3"/>
      <c r="H74" s="4">
        <v>46072</v>
      </c>
      <c r="I7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74" s="4" t="str">
        <f>TEXT(tbMedições[[#This Row],[DATA REFERÊNCIA]],"aa/mm")</f>
        <v>26/02</v>
      </c>
      <c r="K74" s="12">
        <f>_xlfn.XLOOKUP(tbMedições[[#This Row],[CONTRATO_ID]],tbContratos[CONTRATO_ID],tbContratos[VALOR CONTRATO],"Não encontrado")*tbMedições[[#This Row],[PERCENTUAL]]</f>
        <v>1300</v>
      </c>
      <c r="L74" s="1" t="s">
        <v>19</v>
      </c>
      <c r="M74" s="1"/>
      <c r="N74" s="1"/>
    </row>
    <row r="75" spans="1:14" x14ac:dyDescent="0.3">
      <c r="A75" s="1" t="s">
        <v>472</v>
      </c>
      <c r="B75" s="3" t="str" cm="1">
        <f t="array" ref="B75">_xlfn.XLOOKUP(tbMedições[[#This Row],[EMPRESA]]&amp;tbMedições[[#This Row],[OBRA]],tbContratos[EMPRESA]&amp;tbContratos[OBRA],tbContratos[CONTRATO_ID],"Não localizado")</f>
        <v>CT021</v>
      </c>
      <c r="C75" s="1" t="s">
        <v>99</v>
      </c>
      <c r="D75" s="1" t="s">
        <v>59</v>
      </c>
      <c r="E75" s="2" t="s">
        <v>31</v>
      </c>
      <c r="F75" s="2">
        <v>1</v>
      </c>
      <c r="G75" s="3"/>
      <c r="H75" s="4">
        <v>46072</v>
      </c>
      <c r="I7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75" s="4" t="str">
        <f>TEXT(tbMedições[[#This Row],[DATA REFERÊNCIA]],"aa/mm")</f>
        <v>26/02</v>
      </c>
      <c r="K75" s="12">
        <f>_xlfn.XLOOKUP(tbMedições[[#This Row],[CONTRATO_ID]],tbContratos[CONTRATO_ID],tbContratos[VALOR CONTRATO],"Não encontrado")*tbMedições[[#This Row],[PERCENTUAL]]</f>
        <v>1100</v>
      </c>
      <c r="L75" s="1" t="s">
        <v>19</v>
      </c>
      <c r="M75" s="1"/>
      <c r="N75" s="1"/>
    </row>
    <row r="76" spans="1:14" x14ac:dyDescent="0.3">
      <c r="A76" s="1" t="s">
        <v>473</v>
      </c>
      <c r="B76" s="3" t="str" cm="1">
        <f t="array" ref="B76">_xlfn.XLOOKUP(tbMedições[[#This Row],[EMPRESA]]&amp;tbMedições[[#This Row],[OBRA]],tbContratos[EMPRESA]&amp;tbContratos[OBRA],tbContratos[CONTRATO_ID],"Não localizado")</f>
        <v>CT022</v>
      </c>
      <c r="C76" s="1" t="s">
        <v>99</v>
      </c>
      <c r="D76" s="1" t="s">
        <v>61</v>
      </c>
      <c r="E76" s="2" t="s">
        <v>31</v>
      </c>
      <c r="F76" s="2">
        <v>1</v>
      </c>
      <c r="G76" s="4">
        <v>46254</v>
      </c>
      <c r="H76" s="1"/>
      <c r="I7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76" s="4" t="str">
        <f>TEXT(tbMedições[[#This Row],[DATA REFERÊNCIA]],"aa/mm")</f>
        <v>26/08</v>
      </c>
      <c r="K76" s="12">
        <f>_xlfn.XLOOKUP(tbMedições[[#This Row],[CONTRATO_ID]],tbContratos[CONTRATO_ID],tbContratos[VALOR CONTRATO],"Não encontrado")*tbMedições[[#This Row],[PERCENTUAL]]</f>
        <v>2635</v>
      </c>
      <c r="L76" s="1" t="s">
        <v>393</v>
      </c>
      <c r="M76" s="1"/>
      <c r="N76" s="1"/>
    </row>
    <row r="77" spans="1:14" x14ac:dyDescent="0.3">
      <c r="A77" s="1" t="s">
        <v>474</v>
      </c>
      <c r="B77" s="3" t="str" cm="1">
        <f t="array" ref="B77">_xlfn.XLOOKUP(tbMedições[[#This Row],[EMPRESA]]&amp;tbMedições[[#This Row],[OBRA]],tbContratos[EMPRESA]&amp;tbContratos[OBRA],tbContratos[CONTRATO_ID],"Não localizado")</f>
        <v>CT023</v>
      </c>
      <c r="C77" s="1" t="s">
        <v>99</v>
      </c>
      <c r="D77" s="1" t="s">
        <v>60</v>
      </c>
      <c r="E77" s="2" t="s">
        <v>31</v>
      </c>
      <c r="F77" s="2">
        <v>1</v>
      </c>
      <c r="G77" s="4">
        <v>46285</v>
      </c>
      <c r="H77" s="1"/>
      <c r="I7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46285</v>
      </c>
      <c r="J77" s="4" t="str">
        <f>TEXT(tbMedições[[#This Row],[DATA REFERÊNCIA]],"aa/mm")</f>
        <v>26/09</v>
      </c>
      <c r="K77" s="12">
        <f>_xlfn.XLOOKUP(tbMedições[[#This Row],[CONTRATO_ID]],tbContratos[CONTRATO_ID],tbContratos[VALOR CONTRATO],"Não encontrado")*tbMedições[[#This Row],[PERCENTUAL]]</f>
        <v>1800</v>
      </c>
      <c r="L77" s="1" t="s">
        <v>393</v>
      </c>
      <c r="M77" s="1"/>
      <c r="N77" s="1"/>
    </row>
    <row r="78" spans="1:14" x14ac:dyDescent="0.3">
      <c r="A78" s="1" t="s">
        <v>477</v>
      </c>
      <c r="B78" s="3" t="str" cm="1">
        <f t="array" ref="B78">_xlfn.XLOOKUP(tbMedições[[#This Row],[EMPRESA]]&amp;tbMedições[[#This Row],[OBRA]],tbContratos[EMPRESA]&amp;tbContratos[OBRA],tbContratos[CONTRATO_ID],"Não localizado")</f>
        <v>CT024</v>
      </c>
      <c r="C78" s="1" t="s">
        <v>93</v>
      </c>
      <c r="D78" s="1" t="s">
        <v>59</v>
      </c>
      <c r="E78" s="5" t="s">
        <v>475</v>
      </c>
      <c r="F78" s="2">
        <v>0.5</v>
      </c>
      <c r="G78" s="3"/>
      <c r="H78" s="4">
        <v>46066</v>
      </c>
      <c r="I7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46066</v>
      </c>
      <c r="J78" s="4" t="str">
        <f>TEXT(tbMedições[[#This Row],[DATA REFERÊNCIA]],"aa/mm")</f>
        <v>26/02</v>
      </c>
      <c r="K78" s="12">
        <f>_xlfn.XLOOKUP(tbMedições[[#This Row],[CONTRATO_ID]],tbContratos[CONTRATO_ID],tbContratos[VALOR CONTRATO],"Não encontrado")*tbMedições[[#This Row],[PERCENTUAL]]</f>
        <v>20000</v>
      </c>
      <c r="L78" s="1" t="s">
        <v>19</v>
      </c>
      <c r="M78" s="1"/>
      <c r="N78" s="1"/>
    </row>
    <row r="79" spans="1:14" x14ac:dyDescent="0.3">
      <c r="A79" s="1" t="s">
        <v>478</v>
      </c>
      <c r="B79" s="3" t="str" cm="1">
        <f t="array" ref="B79">_xlfn.XLOOKUP(tbMedições[[#This Row],[EMPRESA]]&amp;tbMedições[[#This Row],[OBRA]],tbContratos[EMPRESA]&amp;tbContratos[OBRA],tbContratos[CONTRATO_ID],"Não localizado")</f>
        <v>CT024</v>
      </c>
      <c r="C79" s="1" t="s">
        <v>93</v>
      </c>
      <c r="D79" s="1" t="s">
        <v>59</v>
      </c>
      <c r="E79" s="5" t="s">
        <v>32</v>
      </c>
      <c r="F79" s="2">
        <v>0.5</v>
      </c>
      <c r="G79" s="4">
        <v>46285</v>
      </c>
      <c r="H79" s="1"/>
      <c r="I7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46285</v>
      </c>
      <c r="J79" s="4" t="str">
        <f>TEXT(tbMedições[[#This Row],[DATA REFERÊNCIA]],"aa/mm")</f>
        <v>26/09</v>
      </c>
      <c r="K79" s="12">
        <f>_xlfn.XLOOKUP(tbMedições[[#This Row],[CONTRATO_ID]],tbContratos[CONTRATO_ID],tbContratos[VALOR CONTRATO],"Não encontrado")*tbMedições[[#This Row],[PERCENTUAL]]</f>
        <v>20000</v>
      </c>
      <c r="L79" s="1" t="s">
        <v>393</v>
      </c>
      <c r="M79" s="1"/>
      <c r="N79" s="1"/>
    </row>
    <row r="80" spans="1:14" x14ac:dyDescent="0.3">
      <c r="A80" s="1" t="s">
        <v>479</v>
      </c>
      <c r="B80" s="3" t="str" cm="1">
        <f t="array" ref="B80">_xlfn.XLOOKUP(tbMedições[[#This Row],[EMPRESA]]&amp;tbMedições[[#This Row],[OBRA]],tbContratos[EMPRESA]&amp;tbContratos[OBRA],tbContratos[CONTRATO_ID],"Não localizado")</f>
        <v>CT025</v>
      </c>
      <c r="C80" s="1" t="s">
        <v>87</v>
      </c>
      <c r="D80" s="1" t="s">
        <v>59</v>
      </c>
      <c r="E80" s="2" t="s">
        <v>396</v>
      </c>
      <c r="F80" s="2">
        <v>0.5</v>
      </c>
      <c r="G80" s="3"/>
      <c r="H80" s="4">
        <v>46038</v>
      </c>
      <c r="I8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46038</v>
      </c>
      <c r="J80" s="4" t="str">
        <f>TEXT(tbMedições[[#This Row],[DATA REFERÊNCIA]],"aa/mm")</f>
        <v>26/01</v>
      </c>
      <c r="K80" s="12">
        <f>_xlfn.XLOOKUP(tbMedições[[#This Row],[CONTRATO_ID]],tbContratos[CONTRATO_ID],tbContratos[VALOR CONTRATO],"Não encontrado")*tbMedições[[#This Row],[PERCENTUAL]]</f>
        <v>6500</v>
      </c>
      <c r="L80" s="1" t="s">
        <v>19</v>
      </c>
      <c r="M80" s="1"/>
      <c r="N80" s="1"/>
    </row>
    <row r="81" spans="1:14" x14ac:dyDescent="0.3">
      <c r="A81" s="1" t="s">
        <v>480</v>
      </c>
      <c r="B81" s="3" t="str" cm="1">
        <f t="array" ref="B81">_xlfn.XLOOKUP(tbMedições[[#This Row],[EMPRESA]]&amp;tbMedições[[#This Row],[OBRA]],tbContratos[EMPRESA]&amp;tbContratos[OBRA],tbContratos[CONTRATO_ID],"Não localizado")</f>
        <v>CT025</v>
      </c>
      <c r="C81" s="1" t="s">
        <v>87</v>
      </c>
      <c r="D81" s="1" t="s">
        <v>59</v>
      </c>
      <c r="E81" s="2" t="s">
        <v>476</v>
      </c>
      <c r="F81" s="2">
        <v>0.5</v>
      </c>
      <c r="G81" s="4">
        <v>46315</v>
      </c>
      <c r="H81" s="1"/>
      <c r="I8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81" s="4" t="str">
        <f>TEXT(tbMedições[[#This Row],[DATA REFERÊNCIA]],"aa/mm")</f>
        <v>26/10</v>
      </c>
      <c r="K81" s="12">
        <f>_xlfn.XLOOKUP(tbMedições[[#This Row],[CONTRATO_ID]],tbContratos[CONTRATO_ID],tbContratos[VALOR CONTRATO],"Não encontrado")*tbMedições[[#This Row],[PERCENTUAL]]</f>
        <v>6500</v>
      </c>
      <c r="L81" s="1" t="s">
        <v>393</v>
      </c>
      <c r="M81" s="1"/>
      <c r="N81" s="1"/>
    </row>
    <row r="82" spans="1:14" x14ac:dyDescent="0.3">
      <c r="A82" s="1" t="s">
        <v>481</v>
      </c>
      <c r="B82" s="3" t="str" cm="1">
        <f t="array" ref="B82">_xlfn.XLOOKUP(tbMedições[[#This Row],[EMPRESA]]&amp;tbMedições[[#This Row],[OBRA]],tbContratos[EMPRESA]&amp;tbContratos[OBRA],tbContratos[CONTRATO_ID],"Não localizado")</f>
        <v>CT026</v>
      </c>
      <c r="C82" s="1" t="s">
        <v>86</v>
      </c>
      <c r="D82" s="1" t="s">
        <v>47</v>
      </c>
      <c r="E82" s="2" t="s">
        <v>396</v>
      </c>
      <c r="F82" s="2">
        <v>0.5</v>
      </c>
      <c r="G82" s="4">
        <v>46315</v>
      </c>
      <c r="H82" s="1"/>
      <c r="I8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82" s="4" t="str">
        <f>TEXT(tbMedições[[#This Row],[DATA REFERÊNCIA]],"aa/mm")</f>
        <v>26/10</v>
      </c>
      <c r="K82" s="12">
        <f>_xlfn.XLOOKUP(tbMedições[[#This Row],[CONTRATO_ID]],tbContratos[CONTRATO_ID],tbContratos[VALOR CONTRATO],"Não encontrado")*tbMedições[[#This Row],[PERCENTUAL]]</f>
        <v>12500</v>
      </c>
      <c r="L82" s="1" t="s">
        <v>392</v>
      </c>
      <c r="M82" s="1"/>
      <c r="N82" s="1"/>
    </row>
    <row r="83" spans="1:14" x14ac:dyDescent="0.3">
      <c r="A83" s="1" t="s">
        <v>482</v>
      </c>
      <c r="B83" s="3" t="str" cm="1">
        <f t="array" ref="B83">_xlfn.XLOOKUP(tbMedições[[#This Row],[EMPRESA]]&amp;tbMedições[[#This Row],[OBRA]],tbContratos[EMPRESA]&amp;tbContratos[OBRA],tbContratos[CONTRATO_ID],"Não localizado")</f>
        <v>CT026</v>
      </c>
      <c r="C83" s="1" t="s">
        <v>86</v>
      </c>
      <c r="D83" s="1" t="s">
        <v>47</v>
      </c>
      <c r="E83" s="2" t="s">
        <v>476</v>
      </c>
      <c r="F83" s="2">
        <v>0.5</v>
      </c>
      <c r="G83" s="4">
        <v>46042</v>
      </c>
      <c r="H83" s="1"/>
      <c r="I8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46042</v>
      </c>
      <c r="J83" s="4" t="str">
        <f>TEXT(tbMedições[[#This Row],[DATA REFERÊNCIA]],"aa/mm")</f>
        <v>26/01</v>
      </c>
      <c r="K83" s="12">
        <f>_xlfn.XLOOKUP(tbMedições[[#This Row],[CONTRATO_ID]],tbContratos[CONTRATO_ID],tbContratos[VALOR CONTRATO],"Não encontrado")*tbMedições[[#This Row],[PERCENTUAL]]</f>
        <v>12500</v>
      </c>
      <c r="L83" s="1" t="s">
        <v>392</v>
      </c>
      <c r="M83" s="1"/>
      <c r="N83" s="1"/>
    </row>
    <row r="84" spans="1:14" x14ac:dyDescent="0.3">
      <c r="A84" s="1" t="s">
        <v>483</v>
      </c>
      <c r="B84" s="3" t="str" cm="1">
        <f t="array" ref="B84">_xlfn.XLOOKUP(tbMedições[[#This Row],[EMPRESA]]&amp;tbMedições[[#This Row],[OBRA]],tbContratos[EMPRESA]&amp;tbContratos[OBRA],tbContratos[CONTRATO_ID],"Não localizado")</f>
        <v>CT028</v>
      </c>
      <c r="C84" s="1" t="s">
        <v>86</v>
      </c>
      <c r="D84" s="1" t="s">
        <v>57</v>
      </c>
      <c r="E84" s="2" t="s">
        <v>396</v>
      </c>
      <c r="F84" s="2">
        <v>0.5</v>
      </c>
      <c r="G84" s="4">
        <v>46376</v>
      </c>
      <c r="H84" s="1"/>
      <c r="I8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46376</v>
      </c>
      <c r="J84" s="4" t="str">
        <f>TEXT(tbMedições[[#This Row],[DATA REFERÊNCIA]],"aa/mm")</f>
        <v>26/12</v>
      </c>
      <c r="K84" s="12">
        <f>_xlfn.XLOOKUP(tbMedições[[#This Row],[CONTRATO_ID]],tbContratos[CONTRATO_ID],tbContratos[VALOR CONTRATO],"Não encontrado")*tbMedições[[#This Row],[PERCENTUAL]]</f>
        <v>15000</v>
      </c>
      <c r="L84" s="1" t="s">
        <v>392</v>
      </c>
      <c r="M84" s="1"/>
      <c r="N84" s="1"/>
    </row>
    <row r="85" spans="1:14" x14ac:dyDescent="0.3">
      <c r="A85" s="1" t="s">
        <v>484</v>
      </c>
      <c r="B85" s="3" t="str" cm="1">
        <f t="array" ref="B85">_xlfn.XLOOKUP(tbMedições[[#This Row],[EMPRESA]]&amp;tbMedições[[#This Row],[OBRA]],tbContratos[EMPRESA]&amp;tbContratos[OBRA],tbContratos[CONTRATO_ID],"Não localizado")</f>
        <v>CT028</v>
      </c>
      <c r="C85" s="1" t="s">
        <v>86</v>
      </c>
      <c r="D85" s="1" t="s">
        <v>57</v>
      </c>
      <c r="E85" s="2" t="s">
        <v>476</v>
      </c>
      <c r="F85" s="2">
        <v>0.5</v>
      </c>
      <c r="G85" s="4">
        <v>46466</v>
      </c>
      <c r="H85" s="1"/>
      <c r="I8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46466</v>
      </c>
      <c r="J85" s="4" t="str">
        <f>TEXT(tbMedições[[#This Row],[DATA REFERÊNCIA]],"aa/mm")</f>
        <v>27/03</v>
      </c>
      <c r="K85" s="12">
        <f>_xlfn.XLOOKUP(tbMedições[[#This Row],[CONTRATO_ID]],tbContratos[CONTRATO_ID],tbContratos[VALOR CONTRATO],"Não encontrado")*tbMedições[[#This Row],[PERCENTUAL]]</f>
        <v>15000</v>
      </c>
      <c r="L85" s="1" t="s">
        <v>392</v>
      </c>
      <c r="M85" s="1"/>
      <c r="N85" s="1"/>
    </row>
    <row r="86" spans="1:14" x14ac:dyDescent="0.3">
      <c r="A86" s="1" t="s">
        <v>485</v>
      </c>
      <c r="B86" s="3" t="str" cm="1">
        <f t="array" ref="B86">_xlfn.XLOOKUP(tbMedições[[#This Row],[EMPRESA]]&amp;tbMedições[[#This Row],[OBRA]],tbContratos[EMPRESA]&amp;tbContratos[OBRA],tbContratos[CONTRATO_ID],"Não localizado")</f>
        <v>CT029</v>
      </c>
      <c r="C86" s="1" t="s">
        <v>86</v>
      </c>
      <c r="D86" s="1" t="s">
        <v>59</v>
      </c>
      <c r="E86" s="2" t="s">
        <v>396</v>
      </c>
      <c r="F86" s="2">
        <v>0.5</v>
      </c>
      <c r="G86" s="4">
        <v>46315</v>
      </c>
      <c r="H86" s="1"/>
      <c r="I8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86" s="4" t="str">
        <f>TEXT(tbMedições[[#This Row],[DATA REFERÊNCIA]],"aa/mm")</f>
        <v>26/10</v>
      </c>
      <c r="K86" s="12">
        <f>_xlfn.XLOOKUP(tbMedições[[#This Row],[CONTRATO_ID]],tbContratos[CONTRATO_ID],tbContratos[VALOR CONTRATO],"Não encontrado")*tbMedições[[#This Row],[PERCENTUAL]]</f>
        <v>5000</v>
      </c>
      <c r="L86" s="1" t="s">
        <v>392</v>
      </c>
      <c r="M86" s="1"/>
      <c r="N86" s="1"/>
    </row>
    <row r="87" spans="1:14" x14ac:dyDescent="0.3">
      <c r="A87" s="1" t="s">
        <v>486</v>
      </c>
      <c r="B87" s="3" t="str" cm="1">
        <f t="array" ref="B87">_xlfn.XLOOKUP(tbMedições[[#This Row],[EMPRESA]]&amp;tbMedições[[#This Row],[OBRA]],tbContratos[EMPRESA]&amp;tbContratos[OBRA],tbContratos[CONTRATO_ID],"Não localizado")</f>
        <v>CT029</v>
      </c>
      <c r="C87" s="1" t="s">
        <v>86</v>
      </c>
      <c r="D87" s="1" t="s">
        <v>59</v>
      </c>
      <c r="E87" s="2" t="s">
        <v>476</v>
      </c>
      <c r="F87" s="2">
        <v>0.5</v>
      </c>
      <c r="G87" s="4">
        <v>46042</v>
      </c>
      <c r="H87" s="1"/>
      <c r="I8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46042</v>
      </c>
      <c r="J87" s="4" t="str">
        <f>TEXT(tbMedições[[#This Row],[DATA REFERÊNCIA]],"aa/mm")</f>
        <v>26/01</v>
      </c>
      <c r="K87" s="12">
        <f>_xlfn.XLOOKUP(tbMedições[[#This Row],[CONTRATO_ID]],tbContratos[CONTRATO_ID],tbContratos[VALOR CONTRATO],"Não encontrado")*tbMedições[[#This Row],[PERCENTUAL]]</f>
        <v>5000</v>
      </c>
      <c r="L87" s="1" t="s">
        <v>392</v>
      </c>
      <c r="M87" s="1"/>
      <c r="N87" s="1"/>
    </row>
    <row r="88" spans="1:14" x14ac:dyDescent="0.3">
      <c r="A88" s="1" t="s">
        <v>489</v>
      </c>
      <c r="B88" s="3" t="str" cm="1">
        <f t="array" ref="B88">_xlfn.XLOOKUP(tbMedições[[#This Row],[EMPRESA]]&amp;tbMedições[[#This Row],[OBRA]],tbContratos[EMPRESA]&amp;tbContratos[OBRA],tbContratos[CONTRATO_ID],"Não localizado")</f>
        <v>CT030</v>
      </c>
      <c r="C88" s="1" t="s">
        <v>82</v>
      </c>
      <c r="D88" s="1" t="s">
        <v>47</v>
      </c>
      <c r="E88" s="2" t="s">
        <v>487</v>
      </c>
      <c r="F88" s="2">
        <v>1</v>
      </c>
      <c r="G88" s="3"/>
      <c r="H88" s="4">
        <v>46006</v>
      </c>
      <c r="I8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46006</v>
      </c>
      <c r="J88" s="4" t="str">
        <f>TEXT(tbMedições[[#This Row],[DATA REFERÊNCIA]],"aa/mm")</f>
        <v>25/12</v>
      </c>
      <c r="K88" s="12">
        <f>_xlfn.XLOOKUP(tbMedições[[#This Row],[CONTRATO_ID]],tbContratos[CONTRATO_ID],tbContratos[VALOR CONTRATO],"Não encontrado")*tbMedições[[#This Row],[PERCENTUAL]]</f>
        <v>9000</v>
      </c>
      <c r="L88" s="1" t="s">
        <v>19</v>
      </c>
      <c r="M88" s="1"/>
      <c r="N88" s="1"/>
    </row>
    <row r="89" spans="1:14" x14ac:dyDescent="0.3">
      <c r="A89" s="1" t="s">
        <v>490</v>
      </c>
      <c r="B89" s="3" t="str" cm="1">
        <f t="array" ref="B89">_xlfn.XLOOKUP(tbMedições[[#This Row],[EMPRESA]]&amp;tbMedições[[#This Row],[OBRA]],tbContratos[EMPRESA]&amp;tbContratos[OBRA],tbContratos[CONTRATO_ID],"Não localizado")</f>
        <v>CT031</v>
      </c>
      <c r="C89" s="1" t="s">
        <v>82</v>
      </c>
      <c r="D89" s="1" t="s">
        <v>56</v>
      </c>
      <c r="E89" s="2" t="s">
        <v>396</v>
      </c>
      <c r="F89" s="2">
        <v>0.3</v>
      </c>
      <c r="G89" s="3"/>
      <c r="H89" s="4">
        <v>46147</v>
      </c>
      <c r="I8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46147</v>
      </c>
      <c r="J89" s="4" t="str">
        <f>TEXT(tbMedições[[#This Row],[DATA REFERÊNCIA]],"aa/mm")</f>
        <v>26/05</v>
      </c>
      <c r="K89" s="12">
        <f>_xlfn.XLOOKUP(tbMedições[[#This Row],[CONTRATO_ID]],tbContratos[CONTRATO_ID],tbContratos[VALOR CONTRATO],"Não encontrado")*tbMedições[[#This Row],[PERCENTUAL]]</f>
        <v>1874.4929999999997</v>
      </c>
      <c r="L89" s="1" t="s">
        <v>19</v>
      </c>
      <c r="M89" s="1"/>
      <c r="N89" s="1"/>
    </row>
    <row r="90" spans="1:14" x14ac:dyDescent="0.3">
      <c r="A90" s="1" t="s">
        <v>491</v>
      </c>
      <c r="B90" s="3" t="str" cm="1">
        <f t="array" ref="B90">_xlfn.XLOOKUP(tbMedições[[#This Row],[EMPRESA]]&amp;tbMedições[[#This Row],[OBRA]],tbContratos[EMPRESA]&amp;tbContratos[OBRA],tbContratos[CONTRATO_ID],"Não localizado")</f>
        <v>CT031</v>
      </c>
      <c r="C90" s="1" t="s">
        <v>82</v>
      </c>
      <c r="D90" s="1" t="s">
        <v>56</v>
      </c>
      <c r="E90" s="2" t="s">
        <v>476</v>
      </c>
      <c r="F90" s="2">
        <v>0.7</v>
      </c>
      <c r="G90" s="4">
        <v>46305</v>
      </c>
      <c r="H90" s="1"/>
      <c r="I9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46305</v>
      </c>
      <c r="J90" s="4" t="str">
        <f>TEXT(tbMedições[[#This Row],[DATA REFERÊNCIA]],"aa/mm")</f>
        <v>26/10</v>
      </c>
      <c r="K90" s="12">
        <f>_xlfn.XLOOKUP(tbMedições[[#This Row],[CONTRATO_ID]],tbContratos[CONTRATO_ID],tbContratos[VALOR CONTRATO],"Não encontrado")*tbMedições[[#This Row],[PERCENTUAL]]</f>
        <v>4373.8169999999991</v>
      </c>
      <c r="L90" s="1" t="s">
        <v>393</v>
      </c>
      <c r="M90" s="1"/>
      <c r="N90" s="1"/>
    </row>
    <row r="91" spans="1:14" x14ac:dyDescent="0.3">
      <c r="A91" s="1" t="s">
        <v>492</v>
      </c>
      <c r="B91" s="3" t="str" cm="1">
        <f t="array" ref="B91">_xlfn.XLOOKUP(tbMedições[[#This Row],[EMPRESA]]&amp;tbMedições[[#This Row],[OBRA]],tbContratos[EMPRESA]&amp;tbContratos[OBRA],tbContratos[CONTRATO_ID],"Não localizado")</f>
        <v>CT032</v>
      </c>
      <c r="C91" s="1" t="s">
        <v>82</v>
      </c>
      <c r="D91" s="1" t="s">
        <v>57</v>
      </c>
      <c r="E91" s="2" t="s">
        <v>396</v>
      </c>
      <c r="F91" s="2">
        <v>0.3</v>
      </c>
      <c r="G91" s="3"/>
      <c r="H91" s="4">
        <v>46147</v>
      </c>
      <c r="I9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46147</v>
      </c>
      <c r="J91" s="4" t="str">
        <f>TEXT(tbMedições[[#This Row],[DATA REFERÊNCIA]],"aa/mm")</f>
        <v>26/05</v>
      </c>
      <c r="K91" s="12">
        <f>_xlfn.XLOOKUP(tbMedições[[#This Row],[CONTRATO_ID]],tbContratos[CONTRATO_ID],tbContratos[VALOR CONTRATO],"Não encontrado")*tbMedições[[#This Row],[PERCENTUAL]]</f>
        <v>3728.835</v>
      </c>
      <c r="L91" s="1" t="s">
        <v>19</v>
      </c>
      <c r="M91" s="1"/>
      <c r="N91" s="1"/>
    </row>
    <row r="92" spans="1:14" x14ac:dyDescent="0.3">
      <c r="A92" s="1" t="s">
        <v>493</v>
      </c>
      <c r="B92" s="3" t="str" cm="1">
        <f t="array" ref="B92">_xlfn.XLOOKUP(tbMedições[[#This Row],[EMPRESA]]&amp;tbMedições[[#This Row],[OBRA]],tbContratos[EMPRESA]&amp;tbContratos[OBRA],tbContratos[CONTRATO_ID],"Não localizado")</f>
        <v>CT032</v>
      </c>
      <c r="C92" s="1" t="s">
        <v>82</v>
      </c>
      <c r="D92" s="1" t="s">
        <v>57</v>
      </c>
      <c r="E92" s="2" t="s">
        <v>476</v>
      </c>
      <c r="F92" s="2">
        <v>0.7</v>
      </c>
      <c r="G92" s="4">
        <v>46305</v>
      </c>
      <c r="H92" s="1"/>
      <c r="I9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46305</v>
      </c>
      <c r="J92" s="4" t="str">
        <f>TEXT(tbMedições[[#This Row],[DATA REFERÊNCIA]],"aa/mm")</f>
        <v>26/10</v>
      </c>
      <c r="K92" s="12">
        <f>_xlfn.XLOOKUP(tbMedições[[#This Row],[CONTRATO_ID]],tbContratos[CONTRATO_ID],tbContratos[VALOR CONTRATO],"Não encontrado")*tbMedições[[#This Row],[PERCENTUAL]]</f>
        <v>8700.6149999999998</v>
      </c>
      <c r="L92" s="1" t="s">
        <v>393</v>
      </c>
      <c r="M92" s="1"/>
      <c r="N92" s="1"/>
    </row>
    <row r="93" spans="1:14" x14ac:dyDescent="0.3">
      <c r="A93" s="1" t="s">
        <v>494</v>
      </c>
      <c r="B93" s="3" t="str" cm="1">
        <f t="array" ref="B93">_xlfn.XLOOKUP(tbMedições[[#This Row],[EMPRESA]]&amp;tbMedições[[#This Row],[OBRA]],tbContratos[EMPRESA]&amp;tbContratos[OBRA],tbContratos[CONTRATO_ID],"Não localizado")</f>
        <v>CT033</v>
      </c>
      <c r="C93" s="1" t="s">
        <v>82</v>
      </c>
      <c r="D93" s="1" t="s">
        <v>58</v>
      </c>
      <c r="E93" s="2" t="s">
        <v>396</v>
      </c>
      <c r="F93" s="2">
        <v>0.3</v>
      </c>
      <c r="G93" s="3"/>
      <c r="H93" s="4">
        <v>46147</v>
      </c>
      <c r="I9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46147</v>
      </c>
      <c r="J93" s="4" t="str">
        <f>TEXT(tbMedições[[#This Row],[DATA REFERÊNCIA]],"aa/mm")</f>
        <v>26/05</v>
      </c>
      <c r="K93" s="12">
        <f>_xlfn.XLOOKUP(tbMedições[[#This Row],[CONTRATO_ID]],tbContratos[CONTRATO_ID],tbContratos[VALOR CONTRATO],"Não encontrado")*tbMedições[[#This Row],[PERCENTUAL]]</f>
        <v>2420.1329999999998</v>
      </c>
      <c r="L93" s="1" t="s">
        <v>19</v>
      </c>
      <c r="M93" s="1"/>
      <c r="N93" s="1"/>
    </row>
    <row r="94" spans="1:14" x14ac:dyDescent="0.3">
      <c r="A94" s="1" t="s">
        <v>495</v>
      </c>
      <c r="B94" s="3" t="str" cm="1">
        <f t="array" ref="B94">_xlfn.XLOOKUP(tbMedições[[#This Row],[EMPRESA]]&amp;tbMedições[[#This Row],[OBRA]],tbContratos[EMPRESA]&amp;tbContratos[OBRA],tbContratos[CONTRATO_ID],"Não localizado")</f>
        <v>CT033</v>
      </c>
      <c r="C94" s="1" t="s">
        <v>82</v>
      </c>
      <c r="D94" s="1" t="s">
        <v>58</v>
      </c>
      <c r="E94" s="2" t="s">
        <v>476</v>
      </c>
      <c r="F94" s="2">
        <v>0.7</v>
      </c>
      <c r="G94" s="4">
        <v>46305</v>
      </c>
      <c r="H94" s="1"/>
      <c r="I9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46305</v>
      </c>
      <c r="J94" s="4" t="str">
        <f>TEXT(tbMedições[[#This Row],[DATA REFERÊNCIA]],"aa/mm")</f>
        <v>26/10</v>
      </c>
      <c r="K94" s="12">
        <f>_xlfn.XLOOKUP(tbMedições[[#This Row],[CONTRATO_ID]],tbContratos[CONTRATO_ID],tbContratos[VALOR CONTRATO],"Não encontrado")*tbMedições[[#This Row],[PERCENTUAL]]</f>
        <v>5646.9769999999999</v>
      </c>
      <c r="L94" s="1" t="s">
        <v>393</v>
      </c>
      <c r="M94" s="1"/>
      <c r="N94" s="1"/>
    </row>
    <row r="95" spans="1:14" x14ac:dyDescent="0.3">
      <c r="A95" s="1" t="s">
        <v>496</v>
      </c>
      <c r="B95" s="3" t="str" cm="1">
        <f t="array" ref="B95">_xlfn.XLOOKUP(tbMedições[[#This Row],[EMPRESA]]&amp;tbMedições[[#This Row],[OBRA]],tbContratos[EMPRESA]&amp;tbContratos[OBRA],tbContratos[CONTRATO_ID],"Não localizado")</f>
        <v>CT034</v>
      </c>
      <c r="C95" s="1" t="s">
        <v>82</v>
      </c>
      <c r="D95" s="1" t="s">
        <v>59</v>
      </c>
      <c r="E95" s="2" t="s">
        <v>396</v>
      </c>
      <c r="F95" s="2">
        <v>0.3</v>
      </c>
      <c r="G95" s="3"/>
      <c r="H95" s="4">
        <v>46147</v>
      </c>
      <c r="I9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46147</v>
      </c>
      <c r="J95" s="4" t="str">
        <f>TEXT(tbMedições[[#This Row],[DATA REFERÊNCIA]],"aa/mm")</f>
        <v>26/05</v>
      </c>
      <c r="K95" s="12">
        <f>_xlfn.XLOOKUP(tbMedições[[#This Row],[CONTRATO_ID]],tbContratos[CONTRATO_ID],tbContratos[VALOR CONTRATO],"Não encontrado")*tbMedições[[#This Row],[PERCENTUAL]]</f>
        <v>2476.5420000000004</v>
      </c>
      <c r="L95" s="1" t="s">
        <v>19</v>
      </c>
      <c r="M95" s="1"/>
      <c r="N95" s="1"/>
    </row>
    <row r="96" spans="1:14" x14ac:dyDescent="0.3">
      <c r="A96" s="1" t="s">
        <v>497</v>
      </c>
      <c r="B96" s="3" t="str" cm="1">
        <f t="array" ref="B96">_xlfn.XLOOKUP(tbMedições[[#This Row],[EMPRESA]]&amp;tbMedições[[#This Row],[OBRA]],tbContratos[EMPRESA]&amp;tbContratos[OBRA],tbContratos[CONTRATO_ID],"Não localizado")</f>
        <v>CT034</v>
      </c>
      <c r="C96" s="1" t="s">
        <v>82</v>
      </c>
      <c r="D96" s="1" t="s">
        <v>59</v>
      </c>
      <c r="E96" s="2" t="s">
        <v>476</v>
      </c>
      <c r="F96" s="2">
        <v>0.7</v>
      </c>
      <c r="G96" s="4">
        <v>46305</v>
      </c>
      <c r="H96" s="1"/>
      <c r="I9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46305</v>
      </c>
      <c r="J96" s="4" t="str">
        <f>TEXT(tbMedições[[#This Row],[DATA REFERÊNCIA]],"aa/mm")</f>
        <v>26/10</v>
      </c>
      <c r="K96" s="12">
        <f>_xlfn.XLOOKUP(tbMedições[[#This Row],[CONTRATO_ID]],tbContratos[CONTRATO_ID],tbContratos[VALOR CONTRATO],"Não encontrado")*tbMedições[[#This Row],[PERCENTUAL]]</f>
        <v>5778.5980000000009</v>
      </c>
      <c r="L96" s="1" t="s">
        <v>393</v>
      </c>
      <c r="M96" s="1"/>
      <c r="N96" s="1"/>
    </row>
    <row r="97" spans="1:17" x14ac:dyDescent="0.3">
      <c r="A97" s="1" t="s">
        <v>498</v>
      </c>
      <c r="B97" s="3" t="str" cm="1">
        <f t="array" ref="B97">_xlfn.XLOOKUP(tbMedições[[#This Row],[EMPRESA]]&amp;tbMedições[[#This Row],[OBRA]],tbContratos[EMPRESA]&amp;tbContratos[OBRA],tbContratos[CONTRATO_ID],"Não localizado")</f>
        <v>CT035</v>
      </c>
      <c r="C97" s="1" t="s">
        <v>34</v>
      </c>
      <c r="D97" s="1" t="s">
        <v>47</v>
      </c>
      <c r="E97" s="2" t="s">
        <v>11</v>
      </c>
      <c r="F97" s="2">
        <v>0.1</v>
      </c>
      <c r="G97" s="3"/>
      <c r="H97" s="4">
        <v>46072</v>
      </c>
      <c r="I9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97" s="4" t="str">
        <f>TEXT(tbMedições[[#This Row],[DATA REFERÊNCIA]],"aa/mm")</f>
        <v>26/02</v>
      </c>
      <c r="K97" s="12">
        <f>_xlfn.XLOOKUP(tbMedições[[#This Row],[CONTRATO_ID]],tbContratos[CONTRATO_ID],tbContratos[VALOR CONTRATO],"Não encontrado")*tbMedições[[#This Row],[PERCENTUAL]]</f>
        <v>15000</v>
      </c>
      <c r="L97" s="1" t="s">
        <v>19</v>
      </c>
      <c r="M97" s="1"/>
      <c r="N97" s="1"/>
      <c r="Q97" s="7">
        <f>1-SUM(F97:F100)</f>
        <v>0.55333333333333323</v>
      </c>
    </row>
    <row r="98" spans="1:17" x14ac:dyDescent="0.3">
      <c r="A98" s="1" t="s">
        <v>499</v>
      </c>
      <c r="B98" s="3" t="str" cm="1">
        <f t="array" ref="B98">_xlfn.XLOOKUP(tbMedições[[#This Row],[EMPRESA]]&amp;tbMedições[[#This Row],[OBRA]],tbContratos[EMPRESA]&amp;tbContratos[OBRA],tbContratos[CONTRATO_ID],"Não localizado")</f>
        <v>CT035</v>
      </c>
      <c r="C98" s="1" t="s">
        <v>34</v>
      </c>
      <c r="D98" s="1" t="s">
        <v>47</v>
      </c>
      <c r="E98" s="2" t="s">
        <v>395</v>
      </c>
      <c r="F98" s="2">
        <v>0.2</v>
      </c>
      <c r="G98" s="3"/>
      <c r="H98" s="4">
        <v>46072</v>
      </c>
      <c r="I9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98" s="4" t="str">
        <f>TEXT(tbMedições[[#This Row],[DATA REFERÊNCIA]],"aa/mm")</f>
        <v>26/02</v>
      </c>
      <c r="K98" s="12">
        <f>_xlfn.XLOOKUP(tbMedições[[#This Row],[CONTRATO_ID]],tbContratos[CONTRATO_ID],tbContratos[VALOR CONTRATO],"Não encontrado")*tbMedições[[#This Row],[PERCENTUAL]]</f>
        <v>30000</v>
      </c>
      <c r="L98" s="1" t="s">
        <v>19</v>
      </c>
      <c r="M98" s="1"/>
      <c r="N98" s="1"/>
    </row>
    <row r="99" spans="1:17" x14ac:dyDescent="0.3">
      <c r="A99" s="1" t="s">
        <v>500</v>
      </c>
      <c r="B99" s="3" t="str" cm="1">
        <f t="array" ref="B99">_xlfn.XLOOKUP(tbMedições[[#This Row],[EMPRESA]]&amp;tbMedições[[#This Row],[OBRA]],tbContratos[EMPRESA]&amp;tbContratos[OBRA],tbContratos[CONTRATO_ID],"Não localizado")</f>
        <v>CT035</v>
      </c>
      <c r="C99" s="1" t="s">
        <v>34</v>
      </c>
      <c r="D99" s="1" t="s">
        <v>47</v>
      </c>
      <c r="E99" s="2" t="s">
        <v>396</v>
      </c>
      <c r="F99" s="2">
        <v>0.1</v>
      </c>
      <c r="G99" s="3"/>
      <c r="H99" s="4">
        <v>46154</v>
      </c>
      <c r="I9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46154</v>
      </c>
      <c r="J99" s="4" t="str">
        <f>TEXT(tbMedições[[#This Row],[DATA REFERÊNCIA]],"aa/mm")</f>
        <v>26/05</v>
      </c>
      <c r="K99" s="12">
        <f>_xlfn.XLOOKUP(tbMedições[[#This Row],[CONTRATO_ID]],tbContratos[CONTRATO_ID],tbContratos[VALOR CONTRATO],"Não encontrado")*tbMedições[[#This Row],[PERCENTUAL]]</f>
        <v>15000</v>
      </c>
      <c r="L99" s="1" t="s">
        <v>19</v>
      </c>
      <c r="M99" s="1"/>
      <c r="N99" s="1"/>
    </row>
    <row r="100" spans="1:17" x14ac:dyDescent="0.3">
      <c r="A100" s="1" t="s">
        <v>501</v>
      </c>
      <c r="B100" s="3" t="str" cm="1">
        <f t="array" ref="B100">_xlfn.XLOOKUP(tbMedições[[#This Row],[EMPRESA]]&amp;tbMedições[[#This Row],[OBRA]],tbContratos[EMPRESA]&amp;tbContratos[OBRA],tbContratos[CONTRATO_ID],"Não localizado")</f>
        <v>CT035</v>
      </c>
      <c r="C100" s="1" t="s">
        <v>34</v>
      </c>
      <c r="D100" s="1" t="s">
        <v>47</v>
      </c>
      <c r="E100" s="2" t="s">
        <v>476</v>
      </c>
      <c r="F100" s="2">
        <v>4.6666666666666669E-2</v>
      </c>
      <c r="G100" s="3"/>
      <c r="H100" s="4">
        <v>46185</v>
      </c>
      <c r="I10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00" s="4" t="str">
        <f>TEXT(tbMedições[[#This Row],[DATA REFERÊNCIA]],"aa/mm")</f>
        <v>26/06</v>
      </c>
      <c r="K100" s="12">
        <f>_xlfn.XLOOKUP(tbMedições[[#This Row],[CONTRATO_ID]],tbContratos[CONTRATO_ID],tbContratos[VALOR CONTRATO],"Não encontrado")*tbMedições[[#This Row],[PERCENTUAL]]</f>
        <v>7000</v>
      </c>
      <c r="L100" s="1" t="s">
        <v>19</v>
      </c>
      <c r="M100" s="1"/>
      <c r="N100" s="1"/>
    </row>
    <row r="101" spans="1:17" x14ac:dyDescent="0.3">
      <c r="A101" s="1" t="s">
        <v>502</v>
      </c>
      <c r="B101" s="3" t="str" cm="1">
        <f t="array" ref="B101">_xlfn.XLOOKUP(tbMedições[[#This Row],[EMPRESA]]&amp;tbMedições[[#This Row],[OBRA]],tbContratos[EMPRESA]&amp;tbContratos[OBRA],tbContratos[CONTRATO_ID],"Não localizado")</f>
        <v>CT035</v>
      </c>
      <c r="C101" s="1" t="s">
        <v>34</v>
      </c>
      <c r="D101" s="1" t="s">
        <v>47</v>
      </c>
      <c r="E101" s="2" t="s">
        <v>488</v>
      </c>
      <c r="F101" s="2">
        <v>0.55330000000000001</v>
      </c>
      <c r="G101" s="3"/>
      <c r="H101" s="1"/>
      <c r="I10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101" s="4" t="str">
        <f>TEXT(tbMedições[[#This Row],[DATA REFERÊNCIA]],"aa/mm")</f>
        <v>00/01</v>
      </c>
      <c r="K101" s="12">
        <f>_xlfn.XLOOKUP(tbMedições[[#This Row],[CONTRATO_ID]],tbContratos[CONTRATO_ID],tbContratos[VALOR CONTRATO],"Não encontrado")*tbMedições[[#This Row],[PERCENTUAL]]</f>
        <v>82995</v>
      </c>
      <c r="L101" s="1" t="s">
        <v>20</v>
      </c>
      <c r="M101" s="1"/>
      <c r="N101" s="1"/>
    </row>
    <row r="102" spans="1:17" x14ac:dyDescent="0.3">
      <c r="A102" s="1" t="s">
        <v>503</v>
      </c>
      <c r="B102" s="3" t="str" cm="1">
        <f t="array" ref="B102">_xlfn.XLOOKUP(tbMedições[[#This Row],[EMPRESA]]&amp;tbMedições[[#This Row],[OBRA]],tbContratos[EMPRESA]&amp;tbContratos[OBRA],tbContratos[CONTRATO_ID],"Não localizado")</f>
        <v>CT036</v>
      </c>
      <c r="C102" s="1" t="s">
        <v>34</v>
      </c>
      <c r="D102" s="1" t="s">
        <v>59</v>
      </c>
      <c r="E102" s="2" t="s">
        <v>11</v>
      </c>
      <c r="F102" s="2">
        <v>0.1</v>
      </c>
      <c r="G102" s="3"/>
      <c r="H102" s="4">
        <v>46072</v>
      </c>
      <c r="I10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102" s="4" t="str">
        <f>TEXT(tbMedições[[#This Row],[DATA REFERÊNCIA]],"aa/mm")</f>
        <v>26/02</v>
      </c>
      <c r="K102" s="12">
        <f>_xlfn.XLOOKUP(tbMedições[[#This Row],[CONTRATO_ID]],tbContratos[CONTRATO_ID],tbContratos[VALOR CONTRATO],"Não encontrado")*tbMedições[[#This Row],[PERCENTUAL]]</f>
        <v>6545</v>
      </c>
      <c r="L102" s="1" t="s">
        <v>19</v>
      </c>
      <c r="M102" s="1"/>
      <c r="N102" s="1"/>
    </row>
    <row r="103" spans="1:17" x14ac:dyDescent="0.3">
      <c r="A103" s="1" t="s">
        <v>504</v>
      </c>
      <c r="B103" s="3" t="str" cm="1">
        <f t="array" ref="B103">_xlfn.XLOOKUP(tbMedições[[#This Row],[EMPRESA]]&amp;tbMedições[[#This Row],[OBRA]],tbContratos[EMPRESA]&amp;tbContratos[OBRA],tbContratos[CONTRATO_ID],"Não localizado")</f>
        <v>CT036</v>
      </c>
      <c r="C103" s="1" t="s">
        <v>34</v>
      </c>
      <c r="D103" s="1" t="s">
        <v>59</v>
      </c>
      <c r="E103" s="2" t="s">
        <v>395</v>
      </c>
      <c r="F103" s="2">
        <v>0.2</v>
      </c>
      <c r="G103" s="3"/>
      <c r="H103" s="4">
        <v>46128</v>
      </c>
      <c r="I10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46128</v>
      </c>
      <c r="J103" s="4" t="str">
        <f>TEXT(tbMedições[[#This Row],[DATA REFERÊNCIA]],"aa/mm")</f>
        <v>26/04</v>
      </c>
      <c r="K103" s="12">
        <f>_xlfn.XLOOKUP(tbMedições[[#This Row],[CONTRATO_ID]],tbContratos[CONTRATO_ID],tbContratos[VALOR CONTRATO],"Não encontrado")*tbMedições[[#This Row],[PERCENTUAL]]</f>
        <v>13090</v>
      </c>
      <c r="L103" s="1" t="s">
        <v>19</v>
      </c>
      <c r="M103" s="1"/>
      <c r="N103" s="1"/>
    </row>
    <row r="104" spans="1:17" x14ac:dyDescent="0.3">
      <c r="A104" s="1" t="s">
        <v>505</v>
      </c>
      <c r="B104" s="3" t="str" cm="1">
        <f t="array" ref="B104">_xlfn.XLOOKUP(tbMedições[[#This Row],[EMPRESA]]&amp;tbMedições[[#This Row],[OBRA]],tbContratos[EMPRESA]&amp;tbContratos[OBRA],tbContratos[CONTRATO_ID],"Não localizado")</f>
        <v>CT036</v>
      </c>
      <c r="C104" s="1" t="s">
        <v>34</v>
      </c>
      <c r="D104" s="1" t="s">
        <v>59</v>
      </c>
      <c r="E104" s="2" t="s">
        <v>396</v>
      </c>
      <c r="F104" s="2">
        <v>0.1</v>
      </c>
      <c r="G104" s="3"/>
      <c r="H104" s="4">
        <v>46154</v>
      </c>
      <c r="I10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46154</v>
      </c>
      <c r="J104" s="4" t="str">
        <f>TEXT(tbMedições[[#This Row],[DATA REFERÊNCIA]],"aa/mm")</f>
        <v>26/05</v>
      </c>
      <c r="K104" s="12">
        <f>_xlfn.XLOOKUP(tbMedições[[#This Row],[CONTRATO_ID]],tbContratos[CONTRATO_ID],tbContratos[VALOR CONTRATO],"Não encontrado")*tbMedições[[#This Row],[PERCENTUAL]]</f>
        <v>6545</v>
      </c>
      <c r="L104" s="1" t="s">
        <v>19</v>
      </c>
      <c r="M104" s="1"/>
      <c r="N104" s="1"/>
      <c r="Q104" s="7">
        <f>1-SUM(F102:F105)</f>
        <v>0.49304812834224598</v>
      </c>
    </row>
    <row r="105" spans="1:17" x14ac:dyDescent="0.3">
      <c r="A105" s="1" t="s">
        <v>506</v>
      </c>
      <c r="B105" s="3" t="str" cm="1">
        <f t="array" ref="B105">_xlfn.XLOOKUP(tbMedições[[#This Row],[EMPRESA]]&amp;tbMedições[[#This Row],[OBRA]],tbContratos[EMPRESA]&amp;tbContratos[OBRA],tbContratos[CONTRATO_ID],"Não localizado")</f>
        <v>CT036</v>
      </c>
      <c r="C105" s="1" t="s">
        <v>34</v>
      </c>
      <c r="D105" s="1" t="s">
        <v>59</v>
      </c>
      <c r="E105" s="2" t="s">
        <v>476</v>
      </c>
      <c r="F105" s="2">
        <v>0.10695187165775401</v>
      </c>
      <c r="G105" s="3"/>
      <c r="H105" s="4">
        <v>46185</v>
      </c>
      <c r="I10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05" s="4" t="str">
        <f>TEXT(tbMedições[[#This Row],[DATA REFERÊNCIA]],"aa/mm")</f>
        <v>26/06</v>
      </c>
      <c r="K105" s="12">
        <f>_xlfn.XLOOKUP(tbMedições[[#This Row],[CONTRATO_ID]],tbContratos[CONTRATO_ID],tbContratos[VALOR CONTRATO],"Não encontrado")*tbMedições[[#This Row],[PERCENTUAL]]</f>
        <v>7000</v>
      </c>
      <c r="L105" s="1" t="s">
        <v>19</v>
      </c>
      <c r="M105" s="1"/>
      <c r="N105" s="1"/>
    </row>
    <row r="106" spans="1:17" x14ac:dyDescent="0.3">
      <c r="A106" s="1" t="s">
        <v>507</v>
      </c>
      <c r="B106" s="3" t="str" cm="1">
        <f t="array" ref="B106">_xlfn.XLOOKUP(tbMedições[[#This Row],[EMPRESA]]&amp;tbMedições[[#This Row],[OBRA]],tbContratos[EMPRESA]&amp;tbContratos[OBRA],tbContratos[CONTRATO_ID],"Não localizado")</f>
        <v>CT036</v>
      </c>
      <c r="C106" s="1" t="s">
        <v>34</v>
      </c>
      <c r="D106" s="1" t="s">
        <v>59</v>
      </c>
      <c r="E106" s="2" t="s">
        <v>488</v>
      </c>
      <c r="F106" s="2">
        <v>0.49299999999999999</v>
      </c>
      <c r="G106" s="3"/>
      <c r="H106" s="1"/>
      <c r="I10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106" s="4" t="str">
        <f>TEXT(tbMedições[[#This Row],[DATA REFERÊNCIA]],"aa/mm")</f>
        <v>00/01</v>
      </c>
      <c r="K106" s="12">
        <f>_xlfn.XLOOKUP(tbMedições[[#This Row],[CONTRATO_ID]],tbContratos[CONTRATO_ID],tbContratos[VALOR CONTRATO],"Não encontrado")*tbMedições[[#This Row],[PERCENTUAL]]</f>
        <v>32266.85</v>
      </c>
      <c r="L106" s="1" t="s">
        <v>20</v>
      </c>
      <c r="M106" s="1"/>
      <c r="N106" s="1"/>
    </row>
    <row r="107" spans="1:17" x14ac:dyDescent="0.3">
      <c r="A107" s="1" t="s">
        <v>508</v>
      </c>
      <c r="B107" s="3" t="str" cm="1">
        <f t="array" ref="B107">_xlfn.XLOOKUP(tbMedições[[#This Row],[EMPRESA]]&amp;tbMedições[[#This Row],[OBRA]],tbContratos[EMPRESA]&amp;tbContratos[OBRA],tbContratos[CONTRATO_ID],"Não localizado")</f>
        <v>CT037</v>
      </c>
      <c r="C107" s="1" t="s">
        <v>34</v>
      </c>
      <c r="D107" s="1" t="s">
        <v>55</v>
      </c>
      <c r="E107" s="2" t="s">
        <v>11</v>
      </c>
      <c r="F107" s="2">
        <v>0.1</v>
      </c>
      <c r="G107" s="3"/>
      <c r="H107" s="4">
        <v>46072</v>
      </c>
      <c r="I10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46072</v>
      </c>
      <c r="J107" s="4" t="str">
        <f>TEXT(tbMedições[[#This Row],[DATA REFERÊNCIA]],"aa/mm")</f>
        <v>26/02</v>
      </c>
      <c r="K107" s="12">
        <f>_xlfn.XLOOKUP(tbMedições[[#This Row],[CONTRATO_ID]],tbContratos[CONTRATO_ID],tbContratos[VALOR CONTRATO],"Não encontrado")*tbMedições[[#This Row],[PERCENTUAL]]</f>
        <v>2000</v>
      </c>
      <c r="L107" s="1" t="s">
        <v>19</v>
      </c>
      <c r="M107" s="1"/>
      <c r="N107" s="1"/>
    </row>
    <row r="108" spans="1:17" x14ac:dyDescent="0.3">
      <c r="A108" s="1" t="s">
        <v>509</v>
      </c>
      <c r="B108" s="3" t="str" cm="1">
        <f t="array" ref="B108">_xlfn.XLOOKUP(tbMedições[[#This Row],[EMPRESA]]&amp;tbMedições[[#This Row],[OBRA]],tbContratos[EMPRESA]&amp;tbContratos[OBRA],tbContratos[CONTRATO_ID],"Não localizado")</f>
        <v>CT037</v>
      </c>
      <c r="C108" s="1" t="s">
        <v>34</v>
      </c>
      <c r="D108" s="1" t="s">
        <v>55</v>
      </c>
      <c r="E108" s="2" t="s">
        <v>395</v>
      </c>
      <c r="F108" s="2">
        <v>0.2</v>
      </c>
      <c r="G108" s="3"/>
      <c r="H108" s="4">
        <v>46128</v>
      </c>
      <c r="I10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46128</v>
      </c>
      <c r="J108" s="4" t="str">
        <f>TEXT(tbMedições[[#This Row],[DATA REFERÊNCIA]],"aa/mm")</f>
        <v>26/04</v>
      </c>
      <c r="K108" s="12">
        <f>_xlfn.XLOOKUP(tbMedições[[#This Row],[CONTRATO_ID]],tbContratos[CONTRATO_ID],tbContratos[VALOR CONTRATO],"Não encontrado")*tbMedições[[#This Row],[PERCENTUAL]]</f>
        <v>4000</v>
      </c>
      <c r="L108" s="1" t="s">
        <v>19</v>
      </c>
      <c r="M108" s="1"/>
      <c r="N108" s="1"/>
    </row>
    <row r="109" spans="1:17" x14ac:dyDescent="0.3">
      <c r="A109" s="1" t="s">
        <v>510</v>
      </c>
      <c r="B109" s="3" t="str" cm="1">
        <f t="array" ref="B109">_xlfn.XLOOKUP(tbMedições[[#This Row],[EMPRESA]]&amp;tbMedições[[#This Row],[OBRA]],tbContratos[EMPRESA]&amp;tbContratos[OBRA],tbContratos[CONTRATO_ID],"Não localizado")</f>
        <v>CT037</v>
      </c>
      <c r="C109" s="1" t="s">
        <v>34</v>
      </c>
      <c r="D109" s="1" t="s">
        <v>55</v>
      </c>
      <c r="E109" s="2" t="s">
        <v>396</v>
      </c>
      <c r="F109" s="2">
        <v>0.1</v>
      </c>
      <c r="G109" s="3"/>
      <c r="H109" s="4">
        <v>46154</v>
      </c>
      <c r="I10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46154</v>
      </c>
      <c r="J109" s="4" t="str">
        <f>TEXT(tbMedições[[#This Row],[DATA REFERÊNCIA]],"aa/mm")</f>
        <v>26/05</v>
      </c>
      <c r="K109" s="12">
        <f>_xlfn.XLOOKUP(tbMedições[[#This Row],[CONTRATO_ID]],tbContratos[CONTRATO_ID],tbContratos[VALOR CONTRATO],"Não encontrado")*tbMedições[[#This Row],[PERCENTUAL]]</f>
        <v>2000</v>
      </c>
      <c r="L109" s="1" t="s">
        <v>19</v>
      </c>
      <c r="M109" s="1"/>
      <c r="N109" s="1"/>
    </row>
    <row r="110" spans="1:17" x14ac:dyDescent="0.3">
      <c r="A110" s="1" t="s">
        <v>511</v>
      </c>
      <c r="B110" s="3" t="str" cm="1">
        <f t="array" ref="B110">_xlfn.XLOOKUP(tbMedições[[#This Row],[EMPRESA]]&amp;tbMedições[[#This Row],[OBRA]],tbContratos[EMPRESA]&amp;tbContratos[OBRA],tbContratos[CONTRATO_ID],"Não localizado")</f>
        <v>CT037</v>
      </c>
      <c r="C110" s="1" t="s">
        <v>34</v>
      </c>
      <c r="D110" s="1" t="s">
        <v>55</v>
      </c>
      <c r="E110" s="2" t="s">
        <v>476</v>
      </c>
      <c r="F110" s="2">
        <v>0.2</v>
      </c>
      <c r="G110" s="3"/>
      <c r="H110" s="4">
        <v>46154</v>
      </c>
      <c r="I11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46154</v>
      </c>
      <c r="J110" s="4" t="str">
        <f>TEXT(tbMedições[[#This Row],[DATA REFERÊNCIA]],"aa/mm")</f>
        <v>26/05</v>
      </c>
      <c r="K110" s="12">
        <f>_xlfn.XLOOKUP(tbMedições[[#This Row],[CONTRATO_ID]],tbContratos[CONTRATO_ID],tbContratos[VALOR CONTRATO],"Não encontrado")*tbMedições[[#This Row],[PERCENTUAL]]</f>
        <v>4000</v>
      </c>
      <c r="L110" s="1" t="s">
        <v>19</v>
      </c>
      <c r="M110" s="1"/>
      <c r="N110" s="1"/>
    </row>
    <row r="111" spans="1:17" x14ac:dyDescent="0.3">
      <c r="A111" s="1" t="s">
        <v>512</v>
      </c>
      <c r="B111" s="3" t="str" cm="1">
        <f t="array" ref="B111">_xlfn.XLOOKUP(tbMedições[[#This Row],[EMPRESA]]&amp;tbMedições[[#This Row],[OBRA]],tbContratos[EMPRESA]&amp;tbContratos[OBRA],tbContratos[CONTRATO_ID],"Não localizado")</f>
        <v>CT037</v>
      </c>
      <c r="C111" s="1" t="s">
        <v>34</v>
      </c>
      <c r="D111" s="1" t="s">
        <v>55</v>
      </c>
      <c r="E111" s="2" t="s">
        <v>488</v>
      </c>
      <c r="F111" s="2">
        <v>0.4</v>
      </c>
      <c r="G111" s="3"/>
      <c r="H111" s="1"/>
      <c r="I11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111" s="4" t="str">
        <f>TEXT(tbMedições[[#This Row],[DATA REFERÊNCIA]],"aa/mm")</f>
        <v>00/01</v>
      </c>
      <c r="K111" s="12">
        <f>_xlfn.XLOOKUP(tbMedições[[#This Row],[CONTRATO_ID]],tbContratos[CONTRATO_ID],tbContratos[VALOR CONTRATO],"Não encontrado")*tbMedições[[#This Row],[PERCENTUAL]]</f>
        <v>8000</v>
      </c>
      <c r="L111" s="1" t="s">
        <v>20</v>
      </c>
      <c r="M111" s="1"/>
      <c r="N111" s="1"/>
    </row>
    <row r="112" spans="1:17" x14ac:dyDescent="0.3">
      <c r="A112" s="1" t="s">
        <v>522</v>
      </c>
      <c r="B112" s="3" t="str" cm="1">
        <f t="array" ref="B112">_xlfn.XLOOKUP(tbMedições[[#This Row],[EMPRESA]]&amp;tbMedições[[#This Row],[OBRA]],tbContratos[EMPRESA]&amp;tbContratos[OBRA],tbContratos[CONTRATO_ID],"Não localizado")</f>
        <v>CT039</v>
      </c>
      <c r="C112" s="1" t="s">
        <v>81</v>
      </c>
      <c r="D112" s="1" t="s">
        <v>47</v>
      </c>
      <c r="E112" s="5" t="s">
        <v>11</v>
      </c>
      <c r="F112" s="18">
        <v>0.1</v>
      </c>
      <c r="G112" s="3"/>
      <c r="H112" s="4">
        <v>46237</v>
      </c>
      <c r="I11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12" s="4" t="str">
        <f>TEXT(tbMedições[[#This Row],[DATA REFERÊNCIA]],"aa/mm")</f>
        <v>26/08</v>
      </c>
      <c r="K112" s="12">
        <f>_xlfn.XLOOKUP(tbMedições[[#This Row],[CONTRATO_ID]],tbContratos[CONTRATO_ID],tbContratos[VALOR CONTRATO],"Não encontrado")*tbMedições[[#This Row],[PERCENTUAL]]</f>
        <v>14000</v>
      </c>
      <c r="L112" s="1" t="s">
        <v>394</v>
      </c>
      <c r="M112" s="1"/>
      <c r="N112" s="1"/>
    </row>
    <row r="113" spans="1:14" x14ac:dyDescent="0.3">
      <c r="A113" s="1" t="s">
        <v>523</v>
      </c>
      <c r="B113" s="3" t="str" cm="1">
        <f t="array" ref="B113">_xlfn.XLOOKUP(tbMedições[[#This Row],[EMPRESA]]&amp;tbMedições[[#This Row],[OBRA]],tbContratos[EMPRESA]&amp;tbContratos[OBRA],tbContratos[CONTRATO_ID],"Não localizado")</f>
        <v>CT039</v>
      </c>
      <c r="C113" s="1" t="s">
        <v>81</v>
      </c>
      <c r="D113" s="1" t="s">
        <v>47</v>
      </c>
      <c r="E113" s="5" t="s">
        <v>513</v>
      </c>
      <c r="F113" s="18">
        <v>0.1</v>
      </c>
      <c r="G113" s="3"/>
      <c r="H113" s="4">
        <v>46237</v>
      </c>
      <c r="I11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13" s="4" t="str">
        <f>TEXT(tbMedições[[#This Row],[DATA REFERÊNCIA]],"aa/mm")</f>
        <v>26/08</v>
      </c>
      <c r="K113" s="12">
        <f>_xlfn.XLOOKUP(tbMedições[[#This Row],[CONTRATO_ID]],tbContratos[CONTRATO_ID],tbContratos[VALOR CONTRATO],"Não encontrado")*tbMedições[[#This Row],[PERCENTUAL]]</f>
        <v>14000</v>
      </c>
      <c r="L113" s="1" t="s">
        <v>394</v>
      </c>
      <c r="M113" s="1"/>
      <c r="N113" s="1"/>
    </row>
    <row r="114" spans="1:14" x14ac:dyDescent="0.3">
      <c r="A114" s="1" t="s">
        <v>524</v>
      </c>
      <c r="B114" s="3" t="str" cm="1">
        <f t="array" ref="B114">_xlfn.XLOOKUP(tbMedições[[#This Row],[EMPRESA]]&amp;tbMedições[[#This Row],[OBRA]],tbContratos[EMPRESA]&amp;tbContratos[OBRA],tbContratos[CONTRATO_ID],"Não localizado")</f>
        <v>CT039</v>
      </c>
      <c r="C114" s="1" t="s">
        <v>81</v>
      </c>
      <c r="D114" s="1" t="s">
        <v>47</v>
      </c>
      <c r="E114" s="5" t="s">
        <v>395</v>
      </c>
      <c r="F114" s="18">
        <v>0.1</v>
      </c>
      <c r="G114" s="3"/>
      <c r="H114" s="4">
        <v>46237</v>
      </c>
      <c r="I11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14" s="4" t="str">
        <f>TEXT(tbMedições[[#This Row],[DATA REFERÊNCIA]],"aa/mm")</f>
        <v>26/08</v>
      </c>
      <c r="K114" s="12">
        <f>_xlfn.XLOOKUP(tbMedições[[#This Row],[CONTRATO_ID]],tbContratos[CONTRATO_ID],tbContratos[VALOR CONTRATO],"Não encontrado")*tbMedições[[#This Row],[PERCENTUAL]]</f>
        <v>14000</v>
      </c>
      <c r="L114" s="1" t="s">
        <v>394</v>
      </c>
      <c r="M114" s="1"/>
      <c r="N114" s="1"/>
    </row>
    <row r="115" spans="1:14" x14ac:dyDescent="0.3">
      <c r="A115" s="1" t="s">
        <v>525</v>
      </c>
      <c r="B115" s="3" t="str" cm="1">
        <f t="array" ref="B115">_xlfn.XLOOKUP(tbMedições[[#This Row],[EMPRESA]]&amp;tbMedições[[#This Row],[OBRA]],tbContratos[EMPRESA]&amp;tbContratos[OBRA],tbContratos[CONTRATO_ID],"Não localizado")</f>
        <v>CT039</v>
      </c>
      <c r="C115" s="1" t="s">
        <v>81</v>
      </c>
      <c r="D115" s="1" t="s">
        <v>47</v>
      </c>
      <c r="E115" s="5" t="s">
        <v>396</v>
      </c>
      <c r="F115" s="18">
        <v>0.2</v>
      </c>
      <c r="G115" s="4">
        <v>46269</v>
      </c>
      <c r="H115" s="1"/>
      <c r="I11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46269</v>
      </c>
      <c r="J115" s="4" t="str">
        <f>TEXT(tbMedições[[#This Row],[DATA REFERÊNCIA]],"aa/mm")</f>
        <v>26/09</v>
      </c>
      <c r="K115" s="12">
        <f>_xlfn.XLOOKUP(tbMedições[[#This Row],[CONTRATO_ID]],tbContratos[CONTRATO_ID],tbContratos[VALOR CONTRATO],"Não encontrado")*tbMedições[[#This Row],[PERCENTUAL]]</f>
        <v>28000</v>
      </c>
      <c r="L115" s="1" t="s">
        <v>393</v>
      </c>
      <c r="M115" s="1"/>
      <c r="N115" s="1"/>
    </row>
    <row r="116" spans="1:14" x14ac:dyDescent="0.3">
      <c r="A116" s="1" t="s">
        <v>526</v>
      </c>
      <c r="B116" s="3" t="str" cm="1">
        <f t="array" ref="B116">_xlfn.XLOOKUP(tbMedições[[#This Row],[EMPRESA]]&amp;tbMedições[[#This Row],[OBRA]],tbContratos[EMPRESA]&amp;tbContratos[OBRA],tbContratos[CONTRATO_ID],"Não localizado")</f>
        <v>CT039</v>
      </c>
      <c r="C116" s="1" t="s">
        <v>81</v>
      </c>
      <c r="D116" s="1" t="s">
        <v>47</v>
      </c>
      <c r="E116" s="5" t="s">
        <v>514</v>
      </c>
      <c r="F116" s="18">
        <v>0.2</v>
      </c>
      <c r="G116" s="4">
        <v>46300</v>
      </c>
      <c r="H116" s="1"/>
      <c r="I11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46300</v>
      </c>
      <c r="J116" s="4" t="str">
        <f>TEXT(tbMedições[[#This Row],[DATA REFERÊNCIA]],"aa/mm")</f>
        <v>26/10</v>
      </c>
      <c r="K116" s="12">
        <f>_xlfn.XLOOKUP(tbMedições[[#This Row],[CONTRATO_ID]],tbContratos[CONTRATO_ID],tbContratos[VALOR CONTRATO],"Não encontrado")*tbMedições[[#This Row],[PERCENTUAL]]</f>
        <v>28000</v>
      </c>
      <c r="L116" s="1" t="s">
        <v>392</v>
      </c>
      <c r="M116" s="1"/>
      <c r="N116" s="1"/>
    </row>
    <row r="117" spans="1:14" x14ac:dyDescent="0.3">
      <c r="A117" s="1" t="s">
        <v>527</v>
      </c>
      <c r="B117" s="3" t="str" cm="1">
        <f t="array" ref="B117">_xlfn.XLOOKUP(tbMedições[[#This Row],[EMPRESA]]&amp;tbMedições[[#This Row],[OBRA]],tbContratos[EMPRESA]&amp;tbContratos[OBRA],tbContratos[CONTRATO_ID],"Não localizado")</f>
        <v>CT039</v>
      </c>
      <c r="C117" s="1" t="s">
        <v>81</v>
      </c>
      <c r="D117" s="1" t="s">
        <v>47</v>
      </c>
      <c r="E117" s="5" t="s">
        <v>476</v>
      </c>
      <c r="F117" s="18">
        <v>0.15</v>
      </c>
      <c r="G117" s="4">
        <v>46331</v>
      </c>
      <c r="H117" s="1"/>
      <c r="I11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46331</v>
      </c>
      <c r="J117" s="4" t="str">
        <f>TEXT(tbMedições[[#This Row],[DATA REFERÊNCIA]],"aa/mm")</f>
        <v>26/11</v>
      </c>
      <c r="K117" s="12">
        <f>_xlfn.XLOOKUP(tbMedições[[#This Row],[CONTRATO_ID]],tbContratos[CONTRATO_ID],tbContratos[VALOR CONTRATO],"Não encontrado")*tbMedições[[#This Row],[PERCENTUAL]]</f>
        <v>21000</v>
      </c>
      <c r="L117" s="1" t="s">
        <v>392</v>
      </c>
      <c r="M117" s="1"/>
      <c r="N117" s="1"/>
    </row>
    <row r="118" spans="1:14" x14ac:dyDescent="0.3">
      <c r="A118" s="1" t="s">
        <v>528</v>
      </c>
      <c r="B118" s="3" t="str" cm="1">
        <f t="array" ref="B118">_xlfn.XLOOKUP(tbMedições[[#This Row],[EMPRESA]]&amp;tbMedições[[#This Row],[OBRA]],tbContratos[EMPRESA]&amp;tbContratos[OBRA],tbContratos[CONTRATO_ID],"Não localizado")</f>
        <v>CT039</v>
      </c>
      <c r="C118" s="1" t="s">
        <v>81</v>
      </c>
      <c r="D118" s="1" t="s">
        <v>47</v>
      </c>
      <c r="E118" s="5" t="s">
        <v>515</v>
      </c>
      <c r="F118" s="18">
        <v>0.05</v>
      </c>
      <c r="G118" s="4">
        <v>46361</v>
      </c>
      <c r="H118" s="1"/>
      <c r="I11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46361</v>
      </c>
      <c r="J118" s="4" t="str">
        <f>TEXT(tbMedições[[#This Row],[DATA REFERÊNCIA]],"aa/mm")</f>
        <v>26/12</v>
      </c>
      <c r="K118" s="12">
        <f>_xlfn.XLOOKUP(tbMedições[[#This Row],[CONTRATO_ID]],tbContratos[CONTRATO_ID],tbContratos[VALOR CONTRATO],"Não encontrado")*tbMedições[[#This Row],[PERCENTUAL]]</f>
        <v>7000</v>
      </c>
      <c r="L118" s="1" t="s">
        <v>392</v>
      </c>
      <c r="M118" s="1"/>
      <c r="N118" s="1"/>
    </row>
    <row r="119" spans="1:14" x14ac:dyDescent="0.3">
      <c r="A119" s="1" t="s">
        <v>529</v>
      </c>
      <c r="B119" s="3" t="str" cm="1">
        <f t="array" ref="B119">_xlfn.XLOOKUP(tbMedições[[#This Row],[EMPRESA]]&amp;tbMedições[[#This Row],[OBRA]],tbContratos[EMPRESA]&amp;tbContratos[OBRA],tbContratos[CONTRATO_ID],"Não localizado")</f>
        <v>CT039</v>
      </c>
      <c r="C119" s="1" t="s">
        <v>81</v>
      </c>
      <c r="D119" s="1" t="s">
        <v>47</v>
      </c>
      <c r="E119" s="5" t="s">
        <v>516</v>
      </c>
      <c r="F119" s="18">
        <v>0.05</v>
      </c>
      <c r="G119" s="4">
        <v>46392</v>
      </c>
      <c r="H119" s="1"/>
      <c r="I11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46392</v>
      </c>
      <c r="J119" s="4" t="str">
        <f>TEXT(tbMedições[[#This Row],[DATA REFERÊNCIA]],"aa/mm")</f>
        <v>27/01</v>
      </c>
      <c r="K119" s="12">
        <f>_xlfn.XLOOKUP(tbMedições[[#This Row],[CONTRATO_ID]],tbContratos[CONTRATO_ID],tbContratos[VALOR CONTRATO],"Não encontrado")*tbMedições[[#This Row],[PERCENTUAL]]</f>
        <v>7000</v>
      </c>
      <c r="L119" s="1" t="s">
        <v>392</v>
      </c>
      <c r="M119" s="1"/>
      <c r="N119" s="1"/>
    </row>
    <row r="120" spans="1:14" x14ac:dyDescent="0.3">
      <c r="A120" s="1" t="s">
        <v>530</v>
      </c>
      <c r="B120" s="3" t="str" cm="1">
        <f t="array" ref="B120">_xlfn.XLOOKUP(tbMedições[[#This Row],[EMPRESA]]&amp;tbMedições[[#This Row],[OBRA]],tbContratos[EMPRESA]&amp;tbContratos[OBRA],tbContratos[CONTRATO_ID],"Não localizado")</f>
        <v>CT039</v>
      </c>
      <c r="C120" s="1" t="s">
        <v>81</v>
      </c>
      <c r="D120" s="1" t="s">
        <v>47</v>
      </c>
      <c r="E120" s="5" t="s">
        <v>517</v>
      </c>
      <c r="F120" s="18">
        <v>0.05</v>
      </c>
      <c r="G120" s="4">
        <v>46423</v>
      </c>
      <c r="H120" s="1"/>
      <c r="I12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46423</v>
      </c>
      <c r="J120" s="4" t="str">
        <f>TEXT(tbMedições[[#This Row],[DATA REFERÊNCIA]],"aa/mm")</f>
        <v>27/02</v>
      </c>
      <c r="K120" s="12">
        <f>_xlfn.XLOOKUP(tbMedições[[#This Row],[CONTRATO_ID]],tbContratos[CONTRATO_ID],tbContratos[VALOR CONTRATO],"Não encontrado")*tbMedições[[#This Row],[PERCENTUAL]]</f>
        <v>7000</v>
      </c>
      <c r="L120" s="1" t="s">
        <v>392</v>
      </c>
      <c r="M120" s="1"/>
      <c r="N120" s="1"/>
    </row>
    <row r="121" spans="1:14" x14ac:dyDescent="0.3">
      <c r="A121" s="1" t="s">
        <v>531</v>
      </c>
      <c r="B121" s="3" t="str" cm="1">
        <f t="array" ref="B121">_xlfn.XLOOKUP(tbMedições[[#This Row],[EMPRESA]]&amp;tbMedições[[#This Row],[OBRA]],tbContratos[EMPRESA]&amp;tbContratos[OBRA],tbContratos[CONTRATO_ID],"Não localizado")</f>
        <v>CT040</v>
      </c>
      <c r="C121" s="1" t="s">
        <v>81</v>
      </c>
      <c r="D121" s="1" t="s">
        <v>56</v>
      </c>
      <c r="E121" s="5" t="s">
        <v>11</v>
      </c>
      <c r="F121" s="18">
        <v>0.1</v>
      </c>
      <c r="G121" s="3"/>
      <c r="H121" s="4">
        <v>46234</v>
      </c>
      <c r="I12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46234</v>
      </c>
      <c r="J121" s="4" t="str">
        <f>TEXT(tbMedições[[#This Row],[DATA REFERÊNCIA]],"aa/mm")</f>
        <v>26/07</v>
      </c>
      <c r="K121" s="12">
        <f>_xlfn.XLOOKUP(tbMedições[[#This Row],[CONTRATO_ID]],tbContratos[CONTRATO_ID],tbContratos[VALOR CONTRATO],"Não encontrado")*tbMedições[[#This Row],[PERCENTUAL]]</f>
        <v>12980</v>
      </c>
      <c r="L121" s="1" t="s">
        <v>394</v>
      </c>
      <c r="M121" s="1"/>
      <c r="N121" s="1"/>
    </row>
    <row r="122" spans="1:14" x14ac:dyDescent="0.3">
      <c r="A122" s="1" t="s">
        <v>532</v>
      </c>
      <c r="B122" s="3" t="str" cm="1">
        <f t="array" ref="B122">_xlfn.XLOOKUP(tbMedições[[#This Row],[EMPRESA]]&amp;tbMedições[[#This Row],[OBRA]],tbContratos[EMPRESA]&amp;tbContratos[OBRA],tbContratos[CONTRATO_ID],"Não localizado")</f>
        <v>CT040</v>
      </c>
      <c r="C122" s="1" t="s">
        <v>81</v>
      </c>
      <c r="D122" s="1" t="s">
        <v>56</v>
      </c>
      <c r="E122" s="5" t="s">
        <v>513</v>
      </c>
      <c r="F122" s="18">
        <v>0.1</v>
      </c>
      <c r="G122" s="3"/>
      <c r="H122" s="4">
        <v>46234</v>
      </c>
      <c r="I12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46234</v>
      </c>
      <c r="J122" s="4" t="str">
        <f>TEXT(tbMedições[[#This Row],[DATA REFERÊNCIA]],"aa/mm")</f>
        <v>26/07</v>
      </c>
      <c r="K122" s="12">
        <f>_xlfn.XLOOKUP(tbMedições[[#This Row],[CONTRATO_ID]],tbContratos[CONTRATO_ID],tbContratos[VALOR CONTRATO],"Não encontrado")*tbMedições[[#This Row],[PERCENTUAL]]</f>
        <v>12980</v>
      </c>
      <c r="L122" s="1" t="s">
        <v>394</v>
      </c>
      <c r="M122" s="1"/>
      <c r="N122" s="1"/>
    </row>
    <row r="123" spans="1:14" x14ac:dyDescent="0.3">
      <c r="A123" s="1" t="s">
        <v>533</v>
      </c>
      <c r="B123" s="3" t="str" cm="1">
        <f t="array" ref="B123">_xlfn.XLOOKUP(tbMedições[[#This Row],[EMPRESA]]&amp;tbMedições[[#This Row],[OBRA]],tbContratos[EMPRESA]&amp;tbContratos[OBRA],tbContratos[CONTRATO_ID],"Não localizado")</f>
        <v>CT040</v>
      </c>
      <c r="C123" s="1" t="s">
        <v>81</v>
      </c>
      <c r="D123" s="1" t="s">
        <v>56</v>
      </c>
      <c r="E123" s="5" t="s">
        <v>395</v>
      </c>
      <c r="F123" s="18">
        <v>0.1</v>
      </c>
      <c r="G123" s="3"/>
      <c r="H123" s="4">
        <v>46234</v>
      </c>
      <c r="I12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46234</v>
      </c>
      <c r="J123" s="4" t="str">
        <f>TEXT(tbMedições[[#This Row],[DATA REFERÊNCIA]],"aa/mm")</f>
        <v>26/07</v>
      </c>
      <c r="K123" s="12">
        <f>_xlfn.XLOOKUP(tbMedições[[#This Row],[CONTRATO_ID]],tbContratos[CONTRATO_ID],tbContratos[VALOR CONTRATO],"Não encontrado")*tbMedições[[#This Row],[PERCENTUAL]]</f>
        <v>12980</v>
      </c>
      <c r="L123" s="1" t="s">
        <v>394</v>
      </c>
      <c r="M123" s="1"/>
      <c r="N123" s="1"/>
    </row>
    <row r="124" spans="1:14" x14ac:dyDescent="0.3">
      <c r="A124" s="1" t="s">
        <v>534</v>
      </c>
      <c r="B124" s="3" t="str" cm="1">
        <f t="array" ref="B124">_xlfn.XLOOKUP(tbMedições[[#This Row],[EMPRESA]]&amp;tbMedições[[#This Row],[OBRA]],tbContratos[EMPRESA]&amp;tbContratos[OBRA],tbContratos[CONTRATO_ID],"Não localizado")</f>
        <v>CT040</v>
      </c>
      <c r="C124" s="1" t="s">
        <v>81</v>
      </c>
      <c r="D124" s="1" t="s">
        <v>56</v>
      </c>
      <c r="E124" s="5" t="s">
        <v>396</v>
      </c>
      <c r="F124" s="18">
        <v>0.2</v>
      </c>
      <c r="G124" s="4">
        <v>46269</v>
      </c>
      <c r="H124" s="1"/>
      <c r="I12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46269</v>
      </c>
      <c r="J124" s="4" t="str">
        <f>TEXT(tbMedições[[#This Row],[DATA REFERÊNCIA]],"aa/mm")</f>
        <v>26/09</v>
      </c>
      <c r="K124" s="12">
        <f>_xlfn.XLOOKUP(tbMedições[[#This Row],[CONTRATO_ID]],tbContratos[CONTRATO_ID],tbContratos[VALOR CONTRATO],"Não encontrado")*tbMedições[[#This Row],[PERCENTUAL]]</f>
        <v>25960</v>
      </c>
      <c r="L124" s="1" t="s">
        <v>393</v>
      </c>
      <c r="M124" s="1"/>
      <c r="N124" s="1"/>
    </row>
    <row r="125" spans="1:14" x14ac:dyDescent="0.3">
      <c r="A125" s="1" t="s">
        <v>535</v>
      </c>
      <c r="B125" s="3" t="str" cm="1">
        <f t="array" ref="B125">_xlfn.XLOOKUP(tbMedições[[#This Row],[EMPRESA]]&amp;tbMedições[[#This Row],[OBRA]],tbContratos[EMPRESA]&amp;tbContratos[OBRA],tbContratos[CONTRATO_ID],"Não localizado")</f>
        <v>CT040</v>
      </c>
      <c r="C125" s="1" t="s">
        <v>81</v>
      </c>
      <c r="D125" s="1" t="s">
        <v>56</v>
      </c>
      <c r="E125" s="5" t="s">
        <v>514</v>
      </c>
      <c r="F125" s="18">
        <v>0.2</v>
      </c>
      <c r="G125" s="4">
        <v>46300</v>
      </c>
      <c r="H125" s="1"/>
      <c r="I12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46300</v>
      </c>
      <c r="J125" s="4" t="str">
        <f>TEXT(tbMedições[[#This Row],[DATA REFERÊNCIA]],"aa/mm")</f>
        <v>26/10</v>
      </c>
      <c r="K125" s="12">
        <f>_xlfn.XLOOKUP(tbMedições[[#This Row],[CONTRATO_ID]],tbContratos[CONTRATO_ID],tbContratos[VALOR CONTRATO],"Não encontrado")*tbMedições[[#This Row],[PERCENTUAL]]</f>
        <v>25960</v>
      </c>
      <c r="L125" s="1" t="s">
        <v>392</v>
      </c>
      <c r="M125" s="1"/>
      <c r="N125" s="1"/>
    </row>
    <row r="126" spans="1:14" x14ac:dyDescent="0.3">
      <c r="A126" s="1" t="s">
        <v>536</v>
      </c>
      <c r="B126" s="3" t="str" cm="1">
        <f t="array" ref="B126">_xlfn.XLOOKUP(tbMedições[[#This Row],[EMPRESA]]&amp;tbMedições[[#This Row],[OBRA]],tbContratos[EMPRESA]&amp;tbContratos[OBRA],tbContratos[CONTRATO_ID],"Não localizado")</f>
        <v>CT040</v>
      </c>
      <c r="C126" s="1" t="s">
        <v>81</v>
      </c>
      <c r="D126" s="1" t="s">
        <v>56</v>
      </c>
      <c r="E126" s="5" t="s">
        <v>476</v>
      </c>
      <c r="F126" s="18">
        <v>0.15</v>
      </c>
      <c r="G126" s="4">
        <v>46331</v>
      </c>
      <c r="H126" s="1"/>
      <c r="I12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46331</v>
      </c>
      <c r="J126" s="4" t="str">
        <f>TEXT(tbMedições[[#This Row],[DATA REFERÊNCIA]],"aa/mm")</f>
        <v>26/11</v>
      </c>
      <c r="K126" s="12">
        <f>_xlfn.XLOOKUP(tbMedições[[#This Row],[CONTRATO_ID]],tbContratos[CONTRATO_ID],tbContratos[VALOR CONTRATO],"Não encontrado")*tbMedições[[#This Row],[PERCENTUAL]]</f>
        <v>19470</v>
      </c>
      <c r="L126" s="1" t="s">
        <v>392</v>
      </c>
      <c r="M126" s="1"/>
      <c r="N126" s="1"/>
    </row>
    <row r="127" spans="1:14" x14ac:dyDescent="0.3">
      <c r="A127" s="1" t="s">
        <v>537</v>
      </c>
      <c r="B127" s="3" t="str" cm="1">
        <f t="array" ref="B127">_xlfn.XLOOKUP(tbMedições[[#This Row],[EMPRESA]]&amp;tbMedições[[#This Row],[OBRA]],tbContratos[EMPRESA]&amp;tbContratos[OBRA],tbContratos[CONTRATO_ID],"Não localizado")</f>
        <v>CT040</v>
      </c>
      <c r="C127" s="1" t="s">
        <v>81</v>
      </c>
      <c r="D127" s="1" t="s">
        <v>56</v>
      </c>
      <c r="E127" s="5" t="s">
        <v>515</v>
      </c>
      <c r="F127" s="18">
        <v>0.05</v>
      </c>
      <c r="G127" s="4">
        <v>46361</v>
      </c>
      <c r="H127" s="1"/>
      <c r="I12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46361</v>
      </c>
      <c r="J127" s="4" t="str">
        <f>TEXT(tbMedições[[#This Row],[DATA REFERÊNCIA]],"aa/mm")</f>
        <v>26/12</v>
      </c>
      <c r="K127" s="12">
        <f>_xlfn.XLOOKUP(tbMedições[[#This Row],[CONTRATO_ID]],tbContratos[CONTRATO_ID],tbContratos[VALOR CONTRATO],"Não encontrado")*tbMedições[[#This Row],[PERCENTUAL]]</f>
        <v>6490</v>
      </c>
      <c r="L127" s="1" t="s">
        <v>392</v>
      </c>
      <c r="M127" s="1"/>
      <c r="N127" s="1"/>
    </row>
    <row r="128" spans="1:14" x14ac:dyDescent="0.3">
      <c r="A128" s="1" t="s">
        <v>538</v>
      </c>
      <c r="B128" s="3" t="str" cm="1">
        <f t="array" ref="B128">_xlfn.XLOOKUP(tbMedições[[#This Row],[EMPRESA]]&amp;tbMedições[[#This Row],[OBRA]],tbContratos[EMPRESA]&amp;tbContratos[OBRA],tbContratos[CONTRATO_ID],"Não localizado")</f>
        <v>CT040</v>
      </c>
      <c r="C128" s="1" t="s">
        <v>81</v>
      </c>
      <c r="D128" s="1" t="s">
        <v>56</v>
      </c>
      <c r="E128" s="5" t="s">
        <v>516</v>
      </c>
      <c r="F128" s="18">
        <v>0.05</v>
      </c>
      <c r="G128" s="4">
        <v>46392</v>
      </c>
      <c r="H128" s="1"/>
      <c r="I12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46392</v>
      </c>
      <c r="J128" s="4" t="str">
        <f>TEXT(tbMedições[[#This Row],[DATA REFERÊNCIA]],"aa/mm")</f>
        <v>27/01</v>
      </c>
      <c r="K128" s="12">
        <f>_xlfn.XLOOKUP(tbMedições[[#This Row],[CONTRATO_ID]],tbContratos[CONTRATO_ID],tbContratos[VALOR CONTRATO],"Não encontrado")*tbMedições[[#This Row],[PERCENTUAL]]</f>
        <v>6490</v>
      </c>
      <c r="L128" s="1" t="s">
        <v>392</v>
      </c>
      <c r="M128" s="1"/>
      <c r="N128" s="1"/>
    </row>
    <row r="129" spans="1:14" x14ac:dyDescent="0.3">
      <c r="A129" s="1" t="s">
        <v>539</v>
      </c>
      <c r="B129" s="3" t="str" cm="1">
        <f t="array" ref="B129">_xlfn.XLOOKUP(tbMedições[[#This Row],[EMPRESA]]&amp;tbMedições[[#This Row],[OBRA]],tbContratos[EMPRESA]&amp;tbContratos[OBRA],tbContratos[CONTRATO_ID],"Não localizado")</f>
        <v>CT041</v>
      </c>
      <c r="C129" s="1" t="s">
        <v>81</v>
      </c>
      <c r="D129" s="1" t="s">
        <v>59</v>
      </c>
      <c r="E129" s="5" t="s">
        <v>517</v>
      </c>
      <c r="F129" s="18">
        <v>0.05</v>
      </c>
      <c r="G129" s="4">
        <v>46423</v>
      </c>
      <c r="H129" s="1"/>
      <c r="I12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46423</v>
      </c>
      <c r="J129" s="4" t="str">
        <f>TEXT(tbMedições[[#This Row],[DATA REFERÊNCIA]],"aa/mm")</f>
        <v>27/02</v>
      </c>
      <c r="K129" s="12">
        <f>_xlfn.XLOOKUP(tbMedições[[#This Row],[CONTRATO_ID]],tbContratos[CONTRATO_ID],tbContratos[VALOR CONTRATO],"Não encontrado")*tbMedições[[#This Row],[PERCENTUAL]]</f>
        <v>4295</v>
      </c>
      <c r="L129" s="1" t="s">
        <v>392</v>
      </c>
      <c r="M129" s="1"/>
      <c r="N129" s="1"/>
    </row>
    <row r="130" spans="1:14" x14ac:dyDescent="0.3">
      <c r="A130" s="1" t="s">
        <v>540</v>
      </c>
      <c r="B130" s="3" t="str" cm="1">
        <f t="array" ref="B130">_xlfn.XLOOKUP(tbMedições[[#This Row],[EMPRESA]]&amp;tbMedições[[#This Row],[OBRA]],tbContratos[EMPRESA]&amp;tbContratos[OBRA],tbContratos[CONTRATO_ID],"Não localizado")</f>
        <v>CT038</v>
      </c>
      <c r="C130" s="1" t="s">
        <v>81</v>
      </c>
      <c r="D130" s="1" t="s">
        <v>57</v>
      </c>
      <c r="E130" s="5" t="s">
        <v>11</v>
      </c>
      <c r="F130" s="18">
        <v>0.1</v>
      </c>
      <c r="G130" s="3"/>
      <c r="H130" s="4">
        <v>46237</v>
      </c>
      <c r="I13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30" s="4" t="str">
        <f>TEXT(tbMedições[[#This Row],[DATA REFERÊNCIA]],"aa/mm")</f>
        <v>26/08</v>
      </c>
      <c r="K130" s="12">
        <f>_xlfn.XLOOKUP(tbMedições[[#This Row],[CONTRATO_ID]],tbContratos[CONTRATO_ID],tbContratos[VALOR CONTRATO],"Não encontrado")*tbMedições[[#This Row],[PERCENTUAL]]</f>
        <v>17950</v>
      </c>
      <c r="L130" s="1" t="s">
        <v>394</v>
      </c>
      <c r="M130" s="1"/>
      <c r="N130" s="1"/>
    </row>
    <row r="131" spans="1:14" x14ac:dyDescent="0.3">
      <c r="A131" s="1" t="s">
        <v>541</v>
      </c>
      <c r="B131" s="3" t="str" cm="1">
        <f t="array" ref="B131">_xlfn.XLOOKUP(tbMedições[[#This Row],[EMPRESA]]&amp;tbMedições[[#This Row],[OBRA]],tbContratos[EMPRESA]&amp;tbContratos[OBRA],tbContratos[CONTRATO_ID],"Não localizado")</f>
        <v>CT038</v>
      </c>
      <c r="C131" s="1" t="s">
        <v>81</v>
      </c>
      <c r="D131" s="1" t="s">
        <v>57</v>
      </c>
      <c r="E131" s="5" t="s">
        <v>513</v>
      </c>
      <c r="F131" s="18">
        <v>0.1</v>
      </c>
      <c r="G131" s="3"/>
      <c r="H131" s="4">
        <v>46237</v>
      </c>
      <c r="I13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31" s="4" t="str">
        <f>TEXT(tbMedições[[#This Row],[DATA REFERÊNCIA]],"aa/mm")</f>
        <v>26/08</v>
      </c>
      <c r="K131" s="12">
        <f>_xlfn.XLOOKUP(tbMedições[[#This Row],[CONTRATO_ID]],tbContratos[CONTRATO_ID],tbContratos[VALOR CONTRATO],"Não encontrado")*tbMedições[[#This Row],[PERCENTUAL]]</f>
        <v>17950</v>
      </c>
      <c r="L131" s="1" t="s">
        <v>394</v>
      </c>
      <c r="M131" s="1"/>
      <c r="N131" s="1"/>
    </row>
    <row r="132" spans="1:14" x14ac:dyDescent="0.3">
      <c r="A132" s="1" t="s">
        <v>542</v>
      </c>
      <c r="B132" s="3" t="str" cm="1">
        <f t="array" ref="B132">_xlfn.XLOOKUP(tbMedições[[#This Row],[EMPRESA]]&amp;tbMedições[[#This Row],[OBRA]],tbContratos[EMPRESA]&amp;tbContratos[OBRA],tbContratos[CONTRATO_ID],"Não localizado")</f>
        <v>CT038</v>
      </c>
      <c r="C132" s="1" t="s">
        <v>81</v>
      </c>
      <c r="D132" s="1" t="s">
        <v>57</v>
      </c>
      <c r="E132" s="5" t="s">
        <v>395</v>
      </c>
      <c r="F132" s="18">
        <v>0.1</v>
      </c>
      <c r="G132" s="3"/>
      <c r="H132" s="4">
        <v>46237</v>
      </c>
      <c r="I13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32" s="4" t="str">
        <f>TEXT(tbMedições[[#This Row],[DATA REFERÊNCIA]],"aa/mm")</f>
        <v>26/08</v>
      </c>
      <c r="K132" s="12">
        <f>_xlfn.XLOOKUP(tbMedições[[#This Row],[CONTRATO_ID]],tbContratos[CONTRATO_ID],tbContratos[VALOR CONTRATO],"Não encontrado")*tbMedições[[#This Row],[PERCENTUAL]]</f>
        <v>17950</v>
      </c>
      <c r="L132" s="1" t="s">
        <v>394</v>
      </c>
      <c r="M132" s="1"/>
      <c r="N132" s="1"/>
    </row>
    <row r="133" spans="1:14" x14ac:dyDescent="0.3">
      <c r="A133" s="1" t="s">
        <v>543</v>
      </c>
      <c r="B133" s="3" t="str" cm="1">
        <f t="array" ref="B133">_xlfn.XLOOKUP(tbMedições[[#This Row],[EMPRESA]]&amp;tbMedições[[#This Row],[OBRA]],tbContratos[EMPRESA]&amp;tbContratos[OBRA],tbContratos[CONTRATO_ID],"Não localizado")</f>
        <v>CT038</v>
      </c>
      <c r="C133" s="1" t="s">
        <v>81</v>
      </c>
      <c r="D133" s="1" t="s">
        <v>57</v>
      </c>
      <c r="E133" s="5" t="s">
        <v>396</v>
      </c>
      <c r="F133" s="18">
        <v>0.2</v>
      </c>
      <c r="G133" s="4">
        <v>46269</v>
      </c>
      <c r="H133" s="1"/>
      <c r="I13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46269</v>
      </c>
      <c r="J133" s="4" t="str">
        <f>TEXT(tbMedições[[#This Row],[DATA REFERÊNCIA]],"aa/mm")</f>
        <v>26/09</v>
      </c>
      <c r="K133" s="12">
        <f>_xlfn.XLOOKUP(tbMedições[[#This Row],[CONTRATO_ID]],tbContratos[CONTRATO_ID],tbContratos[VALOR CONTRATO],"Não encontrado")*tbMedições[[#This Row],[PERCENTUAL]]</f>
        <v>35900</v>
      </c>
      <c r="L133" s="1" t="s">
        <v>393</v>
      </c>
      <c r="M133" s="1"/>
      <c r="N133" s="1"/>
    </row>
    <row r="134" spans="1:14" x14ac:dyDescent="0.3">
      <c r="A134" s="1" t="s">
        <v>544</v>
      </c>
      <c r="B134" s="3" t="str" cm="1">
        <f t="array" ref="B134">_xlfn.XLOOKUP(tbMedições[[#This Row],[EMPRESA]]&amp;tbMedições[[#This Row],[OBRA]],tbContratos[EMPRESA]&amp;tbContratos[OBRA],tbContratos[CONTRATO_ID],"Não localizado")</f>
        <v>CT038</v>
      </c>
      <c r="C134" s="1" t="s">
        <v>81</v>
      </c>
      <c r="D134" s="1" t="s">
        <v>57</v>
      </c>
      <c r="E134" s="5" t="s">
        <v>514</v>
      </c>
      <c r="F134" s="18">
        <v>0.2</v>
      </c>
      <c r="G134" s="4">
        <v>46300</v>
      </c>
      <c r="H134" s="1"/>
      <c r="I13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46300</v>
      </c>
      <c r="J134" s="4" t="str">
        <f>TEXT(tbMedições[[#This Row],[DATA REFERÊNCIA]],"aa/mm")</f>
        <v>26/10</v>
      </c>
      <c r="K134" s="12">
        <f>_xlfn.XLOOKUP(tbMedições[[#This Row],[CONTRATO_ID]],tbContratos[CONTRATO_ID],tbContratos[VALOR CONTRATO],"Não encontrado")*tbMedições[[#This Row],[PERCENTUAL]]</f>
        <v>35900</v>
      </c>
      <c r="L134" s="1" t="s">
        <v>392</v>
      </c>
      <c r="M134" s="1"/>
      <c r="N134" s="1"/>
    </row>
    <row r="135" spans="1:14" x14ac:dyDescent="0.3">
      <c r="A135" s="1" t="s">
        <v>545</v>
      </c>
      <c r="B135" s="3" t="str" cm="1">
        <f t="array" ref="B135">_xlfn.XLOOKUP(tbMedições[[#This Row],[EMPRESA]]&amp;tbMedições[[#This Row],[OBRA]],tbContratos[EMPRESA]&amp;tbContratos[OBRA],tbContratos[CONTRATO_ID],"Não localizado")</f>
        <v>CT038</v>
      </c>
      <c r="C135" s="1" t="s">
        <v>81</v>
      </c>
      <c r="D135" s="1" t="s">
        <v>57</v>
      </c>
      <c r="E135" s="5" t="s">
        <v>476</v>
      </c>
      <c r="F135" s="18">
        <v>0.15</v>
      </c>
      <c r="G135" s="4">
        <v>46331</v>
      </c>
      <c r="H135" s="1"/>
      <c r="I13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46331</v>
      </c>
      <c r="J135" s="4" t="str">
        <f>TEXT(tbMedições[[#This Row],[DATA REFERÊNCIA]],"aa/mm")</f>
        <v>26/11</v>
      </c>
      <c r="K135" s="12">
        <f>_xlfn.XLOOKUP(tbMedições[[#This Row],[CONTRATO_ID]],tbContratos[CONTRATO_ID],tbContratos[VALOR CONTRATO],"Não encontrado")*tbMedições[[#This Row],[PERCENTUAL]]</f>
        <v>26925</v>
      </c>
      <c r="L135" s="1" t="s">
        <v>392</v>
      </c>
      <c r="M135" s="1"/>
      <c r="N135" s="1"/>
    </row>
    <row r="136" spans="1:14" x14ac:dyDescent="0.3">
      <c r="A136" s="1" t="s">
        <v>546</v>
      </c>
      <c r="B136" s="3" t="str" cm="1">
        <f t="array" ref="B136">_xlfn.XLOOKUP(tbMedições[[#This Row],[EMPRESA]]&amp;tbMedições[[#This Row],[OBRA]],tbContratos[EMPRESA]&amp;tbContratos[OBRA],tbContratos[CONTRATO_ID],"Não localizado")</f>
        <v>CT038</v>
      </c>
      <c r="C136" s="1" t="s">
        <v>81</v>
      </c>
      <c r="D136" s="1" t="s">
        <v>57</v>
      </c>
      <c r="E136" s="5" t="s">
        <v>515</v>
      </c>
      <c r="F136" s="18">
        <v>0.05</v>
      </c>
      <c r="G136" s="4">
        <v>46361</v>
      </c>
      <c r="H136" s="1"/>
      <c r="I13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46361</v>
      </c>
      <c r="J136" s="4" t="str">
        <f>TEXT(tbMedições[[#This Row],[DATA REFERÊNCIA]],"aa/mm")</f>
        <v>26/12</v>
      </c>
      <c r="K136" s="12">
        <f>_xlfn.XLOOKUP(tbMedições[[#This Row],[CONTRATO_ID]],tbContratos[CONTRATO_ID],tbContratos[VALOR CONTRATO],"Não encontrado")*tbMedições[[#This Row],[PERCENTUAL]]</f>
        <v>8975</v>
      </c>
      <c r="L136" s="1" t="s">
        <v>392</v>
      </c>
      <c r="M136" s="1"/>
      <c r="N136" s="1"/>
    </row>
    <row r="137" spans="1:14" x14ac:dyDescent="0.3">
      <c r="A137" s="1" t="s">
        <v>547</v>
      </c>
      <c r="B137" s="3" t="str" cm="1">
        <f t="array" ref="B137">_xlfn.XLOOKUP(tbMedições[[#This Row],[EMPRESA]]&amp;tbMedições[[#This Row],[OBRA]],tbContratos[EMPRESA]&amp;tbContratos[OBRA],tbContratos[CONTRATO_ID],"Não localizado")</f>
        <v>CT038</v>
      </c>
      <c r="C137" s="1" t="s">
        <v>81</v>
      </c>
      <c r="D137" s="1" t="s">
        <v>57</v>
      </c>
      <c r="E137" s="5" t="s">
        <v>516</v>
      </c>
      <c r="F137" s="18">
        <v>0.05</v>
      </c>
      <c r="G137" s="4">
        <v>46392</v>
      </c>
      <c r="H137" s="1"/>
      <c r="I13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46392</v>
      </c>
      <c r="J137" s="4" t="str">
        <f>TEXT(tbMedições[[#This Row],[DATA REFERÊNCIA]],"aa/mm")</f>
        <v>27/01</v>
      </c>
      <c r="K137" s="12">
        <f>_xlfn.XLOOKUP(tbMedições[[#This Row],[CONTRATO_ID]],tbContratos[CONTRATO_ID],tbContratos[VALOR CONTRATO],"Não encontrado")*tbMedições[[#This Row],[PERCENTUAL]]</f>
        <v>8975</v>
      </c>
      <c r="L137" s="1" t="s">
        <v>392</v>
      </c>
      <c r="M137" s="1"/>
      <c r="N137" s="1"/>
    </row>
    <row r="138" spans="1:14" x14ac:dyDescent="0.3">
      <c r="A138" s="1" t="s">
        <v>548</v>
      </c>
      <c r="B138" s="3" t="str" cm="1">
        <f t="array" ref="B138">_xlfn.XLOOKUP(tbMedições[[#This Row],[EMPRESA]]&amp;tbMedições[[#This Row],[OBRA]],tbContratos[EMPRESA]&amp;tbContratos[OBRA],tbContratos[CONTRATO_ID],"Não localizado")</f>
        <v>CT038</v>
      </c>
      <c r="C138" s="1" t="s">
        <v>81</v>
      </c>
      <c r="D138" s="1" t="s">
        <v>57</v>
      </c>
      <c r="E138" s="5" t="s">
        <v>517</v>
      </c>
      <c r="F138" s="18">
        <v>0.05</v>
      </c>
      <c r="G138" s="4">
        <v>46423</v>
      </c>
      <c r="H138" s="1"/>
      <c r="I13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46423</v>
      </c>
      <c r="J138" s="4" t="str">
        <f>TEXT(tbMedições[[#This Row],[DATA REFERÊNCIA]],"aa/mm")</f>
        <v>27/02</v>
      </c>
      <c r="K138" s="12">
        <f>_xlfn.XLOOKUP(tbMedições[[#This Row],[CONTRATO_ID]],tbContratos[CONTRATO_ID],tbContratos[VALOR CONTRATO],"Não encontrado")*tbMedições[[#This Row],[PERCENTUAL]]</f>
        <v>8975</v>
      </c>
      <c r="L138" s="1" t="s">
        <v>392</v>
      </c>
      <c r="M138" s="1"/>
      <c r="N138" s="1"/>
    </row>
    <row r="139" spans="1:14" x14ac:dyDescent="0.3">
      <c r="A139" s="1" t="s">
        <v>549</v>
      </c>
      <c r="B139" s="3" t="str" cm="1">
        <f t="array" ref="B139">_xlfn.XLOOKUP(tbMedições[[#This Row],[EMPRESA]]&amp;tbMedições[[#This Row],[OBRA]],tbContratos[EMPRESA]&amp;tbContratos[OBRA],tbContratos[CONTRATO_ID],"Não localizado")</f>
        <v>CT041</v>
      </c>
      <c r="C139" s="1" t="s">
        <v>81</v>
      </c>
      <c r="D139" s="1" t="s">
        <v>59</v>
      </c>
      <c r="E139" s="5" t="s">
        <v>11</v>
      </c>
      <c r="F139" s="18">
        <v>0.1</v>
      </c>
      <c r="G139" s="3"/>
      <c r="H139" s="4">
        <v>46237</v>
      </c>
      <c r="I13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39" s="4" t="str">
        <f>TEXT(tbMedições[[#This Row],[DATA REFERÊNCIA]],"aa/mm")</f>
        <v>26/08</v>
      </c>
      <c r="K139" s="12">
        <f>_xlfn.XLOOKUP(tbMedições[[#This Row],[CONTRATO_ID]],tbContratos[CONTRATO_ID],tbContratos[VALOR CONTRATO],"Não encontrado")*tbMedições[[#This Row],[PERCENTUAL]]</f>
        <v>8590</v>
      </c>
      <c r="L139" s="1" t="s">
        <v>394</v>
      </c>
      <c r="M139" s="1"/>
      <c r="N139" s="1"/>
    </row>
    <row r="140" spans="1:14" x14ac:dyDescent="0.3">
      <c r="A140" s="1" t="s">
        <v>550</v>
      </c>
      <c r="B140" s="3" t="str" cm="1">
        <f t="array" ref="B140">_xlfn.XLOOKUP(tbMedições[[#This Row],[EMPRESA]]&amp;tbMedições[[#This Row],[OBRA]],tbContratos[EMPRESA]&amp;tbContratos[OBRA],tbContratos[CONTRATO_ID],"Não localizado")</f>
        <v>CT041</v>
      </c>
      <c r="C140" s="1" t="s">
        <v>81</v>
      </c>
      <c r="D140" s="1" t="s">
        <v>59</v>
      </c>
      <c r="E140" s="5" t="s">
        <v>513</v>
      </c>
      <c r="F140" s="18">
        <v>0.1</v>
      </c>
      <c r="G140" s="3"/>
      <c r="H140" s="4">
        <v>46237</v>
      </c>
      <c r="I14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40" s="4" t="str">
        <f>TEXT(tbMedições[[#This Row],[DATA REFERÊNCIA]],"aa/mm")</f>
        <v>26/08</v>
      </c>
      <c r="K140" s="12">
        <f>_xlfn.XLOOKUP(tbMedições[[#This Row],[CONTRATO_ID]],tbContratos[CONTRATO_ID],tbContratos[VALOR CONTRATO],"Não encontrado")*tbMedições[[#This Row],[PERCENTUAL]]</f>
        <v>8590</v>
      </c>
      <c r="L140" s="1" t="s">
        <v>394</v>
      </c>
      <c r="M140" s="1"/>
      <c r="N140" s="1"/>
    </row>
    <row r="141" spans="1:14" x14ac:dyDescent="0.3">
      <c r="A141" s="1" t="s">
        <v>551</v>
      </c>
      <c r="B141" s="3" t="str" cm="1">
        <f t="array" ref="B141">_xlfn.XLOOKUP(tbMedições[[#This Row],[EMPRESA]]&amp;tbMedições[[#This Row],[OBRA]],tbContratos[EMPRESA]&amp;tbContratos[OBRA],tbContratos[CONTRATO_ID],"Não localizado")</f>
        <v>CT041</v>
      </c>
      <c r="C141" s="1" t="s">
        <v>81</v>
      </c>
      <c r="D141" s="1" t="s">
        <v>59</v>
      </c>
      <c r="E141" s="5" t="s">
        <v>395</v>
      </c>
      <c r="F141" s="18">
        <v>0.1</v>
      </c>
      <c r="G141" s="3"/>
      <c r="H141" s="4">
        <v>46237</v>
      </c>
      <c r="I14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46237</v>
      </c>
      <c r="J141" s="4" t="str">
        <f>TEXT(tbMedições[[#This Row],[DATA REFERÊNCIA]],"aa/mm")</f>
        <v>26/08</v>
      </c>
      <c r="K141" s="12">
        <f>_xlfn.XLOOKUP(tbMedições[[#This Row],[CONTRATO_ID]],tbContratos[CONTRATO_ID],tbContratos[VALOR CONTRATO],"Não encontrado")*tbMedições[[#This Row],[PERCENTUAL]]</f>
        <v>8590</v>
      </c>
      <c r="L141" s="1" t="s">
        <v>394</v>
      </c>
      <c r="M141" s="1"/>
      <c r="N141" s="1"/>
    </row>
    <row r="142" spans="1:14" x14ac:dyDescent="0.3">
      <c r="A142" s="1" t="s">
        <v>552</v>
      </c>
      <c r="B142" s="3" t="str" cm="1">
        <f t="array" ref="B142">_xlfn.XLOOKUP(tbMedições[[#This Row],[EMPRESA]]&amp;tbMedições[[#This Row],[OBRA]],tbContratos[EMPRESA]&amp;tbContratos[OBRA],tbContratos[CONTRATO_ID],"Não localizado")</f>
        <v>CT041</v>
      </c>
      <c r="C142" s="1" t="s">
        <v>81</v>
      </c>
      <c r="D142" s="1" t="s">
        <v>59</v>
      </c>
      <c r="E142" s="5" t="s">
        <v>396</v>
      </c>
      <c r="F142" s="18">
        <v>0.2</v>
      </c>
      <c r="G142" s="4">
        <v>46269</v>
      </c>
      <c r="H142" s="1"/>
      <c r="I14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46269</v>
      </c>
      <c r="J142" s="4" t="str">
        <f>TEXT(tbMedições[[#This Row],[DATA REFERÊNCIA]],"aa/mm")</f>
        <v>26/09</v>
      </c>
      <c r="K142" s="12">
        <f>_xlfn.XLOOKUP(tbMedições[[#This Row],[CONTRATO_ID]],tbContratos[CONTRATO_ID],tbContratos[VALOR CONTRATO],"Não encontrado")*tbMedições[[#This Row],[PERCENTUAL]]</f>
        <v>17180</v>
      </c>
      <c r="L142" s="1" t="s">
        <v>393</v>
      </c>
      <c r="M142" s="1"/>
      <c r="N142" s="1"/>
    </row>
    <row r="143" spans="1:14" x14ac:dyDescent="0.3">
      <c r="A143" s="1" t="s">
        <v>553</v>
      </c>
      <c r="B143" s="3" t="str" cm="1">
        <f t="array" ref="B143">_xlfn.XLOOKUP(tbMedições[[#This Row],[EMPRESA]]&amp;tbMedições[[#This Row],[OBRA]],tbContratos[EMPRESA]&amp;tbContratos[OBRA],tbContratos[CONTRATO_ID],"Não localizado")</f>
        <v>CT041</v>
      </c>
      <c r="C143" s="1" t="s">
        <v>81</v>
      </c>
      <c r="D143" s="1" t="s">
        <v>59</v>
      </c>
      <c r="E143" s="5" t="s">
        <v>514</v>
      </c>
      <c r="F143" s="18">
        <v>0.2</v>
      </c>
      <c r="G143" s="4">
        <v>46300</v>
      </c>
      <c r="H143" s="1"/>
      <c r="I14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46300</v>
      </c>
      <c r="J143" s="4" t="str">
        <f>TEXT(tbMedições[[#This Row],[DATA REFERÊNCIA]],"aa/mm")</f>
        <v>26/10</v>
      </c>
      <c r="K143" s="12">
        <f>_xlfn.XLOOKUP(tbMedições[[#This Row],[CONTRATO_ID]],tbContratos[CONTRATO_ID],tbContratos[VALOR CONTRATO],"Não encontrado")*tbMedições[[#This Row],[PERCENTUAL]]</f>
        <v>17180</v>
      </c>
      <c r="L143" s="1" t="s">
        <v>392</v>
      </c>
      <c r="M143" s="1"/>
      <c r="N143" s="1"/>
    </row>
    <row r="144" spans="1:14" x14ac:dyDescent="0.3">
      <c r="A144" s="1" t="s">
        <v>554</v>
      </c>
      <c r="B144" s="3" t="str" cm="1">
        <f t="array" ref="B144">_xlfn.XLOOKUP(tbMedições[[#This Row],[EMPRESA]]&amp;tbMedições[[#This Row],[OBRA]],tbContratos[EMPRESA]&amp;tbContratos[OBRA],tbContratos[CONTRATO_ID],"Não localizado")</f>
        <v>CT041</v>
      </c>
      <c r="C144" s="1" t="s">
        <v>81</v>
      </c>
      <c r="D144" s="1" t="s">
        <v>59</v>
      </c>
      <c r="E144" s="5" t="s">
        <v>476</v>
      </c>
      <c r="F144" s="18">
        <v>0.15</v>
      </c>
      <c r="G144" s="4">
        <v>46331</v>
      </c>
      <c r="H144" s="1"/>
      <c r="I14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46331</v>
      </c>
      <c r="J144" s="4" t="str">
        <f>TEXT(tbMedições[[#This Row],[DATA REFERÊNCIA]],"aa/mm")</f>
        <v>26/11</v>
      </c>
      <c r="K144" s="12">
        <f>_xlfn.XLOOKUP(tbMedições[[#This Row],[CONTRATO_ID]],tbContratos[CONTRATO_ID],tbContratos[VALOR CONTRATO],"Não encontrado")*tbMedições[[#This Row],[PERCENTUAL]]</f>
        <v>12885</v>
      </c>
      <c r="L144" s="1" t="s">
        <v>392</v>
      </c>
      <c r="M144" s="1"/>
      <c r="N144" s="1"/>
    </row>
    <row r="145" spans="1:14" x14ac:dyDescent="0.3">
      <c r="A145" s="1" t="s">
        <v>555</v>
      </c>
      <c r="B145" s="3" t="str" cm="1">
        <f t="array" ref="B145">_xlfn.XLOOKUP(tbMedições[[#This Row],[EMPRESA]]&amp;tbMedições[[#This Row],[OBRA]],tbContratos[EMPRESA]&amp;tbContratos[OBRA],tbContratos[CONTRATO_ID],"Não localizado")</f>
        <v>CT041</v>
      </c>
      <c r="C145" s="1" t="s">
        <v>81</v>
      </c>
      <c r="D145" s="1" t="s">
        <v>59</v>
      </c>
      <c r="E145" s="5" t="s">
        <v>515</v>
      </c>
      <c r="F145" s="18">
        <v>0.05</v>
      </c>
      <c r="G145" s="4">
        <v>46361</v>
      </c>
      <c r="H145" s="1"/>
      <c r="I14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46361</v>
      </c>
      <c r="J145" s="4" t="str">
        <f>TEXT(tbMedições[[#This Row],[DATA REFERÊNCIA]],"aa/mm")</f>
        <v>26/12</v>
      </c>
      <c r="K145" s="12">
        <f>_xlfn.XLOOKUP(tbMedições[[#This Row],[CONTRATO_ID]],tbContratos[CONTRATO_ID],tbContratos[VALOR CONTRATO],"Não encontrado")*tbMedições[[#This Row],[PERCENTUAL]]</f>
        <v>4295</v>
      </c>
      <c r="L145" s="1" t="s">
        <v>392</v>
      </c>
      <c r="M145" s="1"/>
      <c r="N145" s="1"/>
    </row>
    <row r="146" spans="1:14" x14ac:dyDescent="0.3">
      <c r="A146" s="1" t="s">
        <v>556</v>
      </c>
      <c r="B146" s="3" t="str" cm="1">
        <f t="array" ref="B146">_xlfn.XLOOKUP(tbMedições[[#This Row],[EMPRESA]]&amp;tbMedições[[#This Row],[OBRA]],tbContratos[EMPRESA]&amp;tbContratos[OBRA],tbContratos[CONTRATO_ID],"Não localizado")</f>
        <v>CT041</v>
      </c>
      <c r="C146" s="1" t="s">
        <v>81</v>
      </c>
      <c r="D146" s="1" t="s">
        <v>59</v>
      </c>
      <c r="E146" s="5" t="s">
        <v>516</v>
      </c>
      <c r="F146" s="18">
        <v>0.05</v>
      </c>
      <c r="G146" s="4">
        <v>46392</v>
      </c>
      <c r="H146" s="1"/>
      <c r="I14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46392</v>
      </c>
      <c r="J146" s="4" t="str">
        <f>TEXT(tbMedições[[#This Row],[DATA REFERÊNCIA]],"aa/mm")</f>
        <v>27/01</v>
      </c>
      <c r="K146" s="12">
        <f>_xlfn.XLOOKUP(tbMedições[[#This Row],[CONTRATO_ID]],tbContratos[CONTRATO_ID],tbContratos[VALOR CONTRATO],"Não encontrado")*tbMedições[[#This Row],[PERCENTUAL]]</f>
        <v>4295</v>
      </c>
      <c r="L146" s="1" t="s">
        <v>392</v>
      </c>
      <c r="M146" s="1"/>
      <c r="N146" s="1"/>
    </row>
    <row r="147" spans="1:14" x14ac:dyDescent="0.3">
      <c r="A147" s="1" t="s">
        <v>557</v>
      </c>
      <c r="B147" s="3" t="str" cm="1">
        <f t="array" ref="B147">_xlfn.XLOOKUP(tbMedições[[#This Row],[EMPRESA]]&amp;tbMedições[[#This Row],[OBRA]],tbContratos[EMPRESA]&amp;tbContratos[OBRA],tbContratos[CONTRATO_ID],"Não localizado")</f>
        <v>CT041</v>
      </c>
      <c r="C147" s="1" t="s">
        <v>81</v>
      </c>
      <c r="D147" s="1" t="s">
        <v>59</v>
      </c>
      <c r="E147" s="5" t="s">
        <v>517</v>
      </c>
      <c r="F147" s="18">
        <v>0.05</v>
      </c>
      <c r="G147" s="4">
        <v>46423</v>
      </c>
      <c r="H147" s="1"/>
      <c r="I14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46423</v>
      </c>
      <c r="J147" s="4" t="str">
        <f>TEXT(tbMedições[[#This Row],[DATA REFERÊNCIA]],"aa/mm")</f>
        <v>27/02</v>
      </c>
      <c r="K147" s="12">
        <f>_xlfn.XLOOKUP(tbMedições[[#This Row],[CONTRATO_ID]],tbContratos[CONTRATO_ID],tbContratos[VALOR CONTRATO],"Não encontrado")*tbMedições[[#This Row],[PERCENTUAL]]</f>
        <v>4295</v>
      </c>
      <c r="L147" s="1" t="s">
        <v>392</v>
      </c>
      <c r="M147" s="1"/>
      <c r="N147" s="1"/>
    </row>
    <row r="148" spans="1:14" x14ac:dyDescent="0.3">
      <c r="A148" s="1" t="s">
        <v>558</v>
      </c>
      <c r="B148" s="3" t="str" cm="1">
        <f t="array" ref="B148">_xlfn.XLOOKUP(tbMedições[[#This Row],[EMPRESA]]&amp;tbMedições[[#This Row],[OBRA]],tbContratos[EMPRESA]&amp;tbContratos[OBRA],tbContratos[CONTRATO_ID],"Não localizado")</f>
        <v>CT042</v>
      </c>
      <c r="C148" s="1" t="s">
        <v>81</v>
      </c>
      <c r="D148" s="1" t="s">
        <v>55</v>
      </c>
      <c r="E148" s="2" t="s">
        <v>11</v>
      </c>
      <c r="F148" s="8">
        <v>0.44134078212290501</v>
      </c>
      <c r="G148" s="3"/>
      <c r="H148" s="4">
        <v>46239</v>
      </c>
      <c r="I14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46239</v>
      </c>
      <c r="J148" s="4" t="str">
        <f>TEXT(tbMedições[[#This Row],[DATA REFERÊNCIA]],"aa/mm")</f>
        <v>26/08</v>
      </c>
      <c r="K148" s="12">
        <f>_xlfn.XLOOKUP(tbMedições[[#This Row],[CONTRATO_ID]],tbContratos[CONTRATO_ID],tbContratos[VALOR CONTRATO],"Não encontrado")*tbMedições[[#This Row],[PERCENTUAL]]</f>
        <v>15800</v>
      </c>
      <c r="L148" s="1" t="s">
        <v>394</v>
      </c>
      <c r="M148" s="1"/>
      <c r="N148" s="1"/>
    </row>
    <row r="149" spans="1:14" x14ac:dyDescent="0.3">
      <c r="A149" s="1" t="s">
        <v>559</v>
      </c>
      <c r="B149" s="3" t="str" cm="1">
        <f t="array" ref="B149">_xlfn.XLOOKUP(tbMedições[[#This Row],[EMPRESA]]&amp;tbMedições[[#This Row],[OBRA]],tbContratos[EMPRESA]&amp;tbContratos[OBRA],tbContratos[CONTRATO_ID],"Não localizado")</f>
        <v>CT042</v>
      </c>
      <c r="C149" s="1" t="s">
        <v>81</v>
      </c>
      <c r="D149" s="1" t="s">
        <v>55</v>
      </c>
      <c r="E149" s="2" t="s">
        <v>518</v>
      </c>
      <c r="F149" s="8">
        <v>0.09</v>
      </c>
      <c r="G149" s="4">
        <v>46270</v>
      </c>
      <c r="H149" s="1"/>
      <c r="I14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46270</v>
      </c>
      <c r="J149" s="4" t="str">
        <f>TEXT(tbMedições[[#This Row],[DATA REFERÊNCIA]],"aa/mm")</f>
        <v>26/09</v>
      </c>
      <c r="K149" s="12">
        <f>_xlfn.XLOOKUP(tbMedições[[#This Row],[CONTRATO_ID]],tbContratos[CONTRATO_ID],tbContratos[VALOR CONTRATO],"Não encontrado")*tbMedições[[#This Row],[PERCENTUAL]]</f>
        <v>3222</v>
      </c>
      <c r="L149" s="1" t="s">
        <v>393</v>
      </c>
      <c r="M149" s="1"/>
      <c r="N149" s="1"/>
    </row>
    <row r="150" spans="1:14" x14ac:dyDescent="0.3">
      <c r="A150" s="1" t="s">
        <v>560</v>
      </c>
      <c r="B150" s="3" t="str" cm="1">
        <f t="array" ref="B150">_xlfn.XLOOKUP(tbMedições[[#This Row],[EMPRESA]]&amp;tbMedições[[#This Row],[OBRA]],tbContratos[EMPRESA]&amp;tbContratos[OBRA],tbContratos[CONTRATO_ID],"Não localizado")</f>
        <v>CT042</v>
      </c>
      <c r="C150" s="1" t="s">
        <v>81</v>
      </c>
      <c r="D150" s="1" t="s">
        <v>55</v>
      </c>
      <c r="E150" s="2" t="s">
        <v>519</v>
      </c>
      <c r="F150" s="8">
        <v>0.13966480446927373</v>
      </c>
      <c r="G150" s="4">
        <v>46300</v>
      </c>
      <c r="H150" s="1"/>
      <c r="I15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46300</v>
      </c>
      <c r="J150" s="4" t="str">
        <f>TEXT(tbMedições[[#This Row],[DATA REFERÊNCIA]],"aa/mm")</f>
        <v>26/10</v>
      </c>
      <c r="K150" s="12">
        <f>_xlfn.XLOOKUP(tbMedições[[#This Row],[CONTRATO_ID]],tbContratos[CONTRATO_ID],tbContratos[VALOR CONTRATO],"Não encontrado")*tbMedições[[#This Row],[PERCENTUAL]]</f>
        <v>5000</v>
      </c>
      <c r="L150" s="1" t="s">
        <v>392</v>
      </c>
      <c r="M150" s="1"/>
      <c r="N150" s="1"/>
    </row>
    <row r="151" spans="1:14" x14ac:dyDescent="0.3">
      <c r="A151" s="1" t="s">
        <v>561</v>
      </c>
      <c r="B151" s="3" t="str" cm="1">
        <f t="array" ref="B151">_xlfn.XLOOKUP(tbMedições[[#This Row],[EMPRESA]]&amp;tbMedições[[#This Row],[OBRA]],tbContratos[EMPRESA]&amp;tbContratos[OBRA],tbContratos[CONTRATO_ID],"Não localizado")</f>
        <v>CT042</v>
      </c>
      <c r="C151" s="1" t="s">
        <v>81</v>
      </c>
      <c r="D151" s="1" t="s">
        <v>55</v>
      </c>
      <c r="E151" s="2" t="s">
        <v>520</v>
      </c>
      <c r="F151" s="8">
        <v>0.13966480446927373</v>
      </c>
      <c r="G151" s="4">
        <v>46331</v>
      </c>
      <c r="H151" s="1"/>
      <c r="I15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46331</v>
      </c>
      <c r="J151" s="4" t="str">
        <f>TEXT(tbMedições[[#This Row],[DATA REFERÊNCIA]],"aa/mm")</f>
        <v>26/11</v>
      </c>
      <c r="K151" s="12">
        <f>_xlfn.XLOOKUP(tbMedições[[#This Row],[CONTRATO_ID]],tbContratos[CONTRATO_ID],tbContratos[VALOR CONTRATO],"Não encontrado")*tbMedições[[#This Row],[PERCENTUAL]]</f>
        <v>5000</v>
      </c>
      <c r="L151" s="1" t="s">
        <v>392</v>
      </c>
      <c r="M151" s="1"/>
      <c r="N151" s="1"/>
    </row>
    <row r="152" spans="1:14" x14ac:dyDescent="0.3">
      <c r="A152" s="1" t="s">
        <v>562</v>
      </c>
      <c r="B152" s="3" t="str" cm="1">
        <f t="array" ref="B152">_xlfn.XLOOKUP(tbMedições[[#This Row],[EMPRESA]]&amp;tbMedições[[#This Row],[OBRA]],tbContratos[EMPRESA]&amp;tbContratos[OBRA],tbContratos[CONTRATO_ID],"Não localizado")</f>
        <v>CT042</v>
      </c>
      <c r="C152" s="1" t="s">
        <v>81</v>
      </c>
      <c r="D152" s="1" t="s">
        <v>55</v>
      </c>
      <c r="E152" s="2" t="s">
        <v>521</v>
      </c>
      <c r="F152" s="8">
        <v>0.13966480446927373</v>
      </c>
      <c r="G152" s="4">
        <v>46361</v>
      </c>
      <c r="H152" s="1"/>
      <c r="I15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46361</v>
      </c>
      <c r="J152" s="4" t="str">
        <f>TEXT(tbMedições[[#This Row],[DATA REFERÊNCIA]],"aa/mm")</f>
        <v>26/12</v>
      </c>
      <c r="K152" s="12">
        <f>_xlfn.XLOOKUP(tbMedições[[#This Row],[CONTRATO_ID]],tbContratos[CONTRATO_ID],tbContratos[VALOR CONTRATO],"Não encontrado")*tbMedições[[#This Row],[PERCENTUAL]]</f>
        <v>5000</v>
      </c>
      <c r="L152" s="1" t="s">
        <v>392</v>
      </c>
      <c r="M152" s="1"/>
      <c r="N152" s="1"/>
    </row>
    <row r="153" spans="1:14" x14ac:dyDescent="0.3">
      <c r="A153" s="1" t="s">
        <v>564</v>
      </c>
      <c r="B153" s="3" t="str" cm="1">
        <f t="array" ref="B153">_xlfn.XLOOKUP(tbMedições[[#This Row],[EMPRESA]]&amp;tbMedições[[#This Row],[OBRA]],tbContratos[EMPRESA]&amp;tbContratos[OBRA],tbContratos[CONTRATO_ID],"Não localizado")</f>
        <v>CT043</v>
      </c>
      <c r="C153" s="1" t="s">
        <v>88</v>
      </c>
      <c r="D153" s="1" t="s">
        <v>47</v>
      </c>
      <c r="E153" s="2" t="s">
        <v>11</v>
      </c>
      <c r="F153" s="2">
        <v>0.3</v>
      </c>
      <c r="G153" s="4">
        <v>46254</v>
      </c>
      <c r="H153" s="1"/>
      <c r="I15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153" s="4" t="str">
        <f>TEXT(tbMedições[[#This Row],[DATA REFERÊNCIA]],"aa/mm")</f>
        <v>26/08</v>
      </c>
      <c r="K153" s="12">
        <f>_xlfn.XLOOKUP(tbMedições[[#This Row],[CONTRATO_ID]],tbContratos[CONTRATO_ID],tbContratos[VALOR CONTRATO],"Não encontrado")*tbMedições[[#This Row],[PERCENTUAL]]</f>
        <v>1500</v>
      </c>
      <c r="L153" s="1" t="s">
        <v>392</v>
      </c>
      <c r="M153" s="1"/>
      <c r="N153" s="1"/>
    </row>
    <row r="154" spans="1:14" x14ac:dyDescent="0.3">
      <c r="A154" s="1" t="s">
        <v>565</v>
      </c>
      <c r="B154" s="3" t="str" cm="1">
        <f t="array" ref="B154">_xlfn.XLOOKUP(tbMedições[[#This Row],[EMPRESA]]&amp;tbMedições[[#This Row],[OBRA]],tbContratos[EMPRESA]&amp;tbContratos[OBRA],tbContratos[CONTRATO_ID],"Não localizado")</f>
        <v>CT043</v>
      </c>
      <c r="C154" s="1" t="s">
        <v>88</v>
      </c>
      <c r="D154" s="1" t="s">
        <v>47</v>
      </c>
      <c r="E154" s="2" t="s">
        <v>568</v>
      </c>
      <c r="F154" s="2">
        <v>0.7</v>
      </c>
      <c r="G154" s="4">
        <v>46315</v>
      </c>
      <c r="H154" s="1"/>
      <c r="I15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154" s="4" t="str">
        <f>TEXT(tbMedições[[#This Row],[DATA REFERÊNCIA]],"aa/mm")</f>
        <v>26/10</v>
      </c>
      <c r="K154" s="12">
        <f>_xlfn.XLOOKUP(tbMedições[[#This Row],[CONTRATO_ID]],tbContratos[CONTRATO_ID],tbContratos[VALOR CONTRATO],"Não encontrado")*tbMedições[[#This Row],[PERCENTUAL]]</f>
        <v>3500</v>
      </c>
      <c r="L154" s="1" t="s">
        <v>392</v>
      </c>
      <c r="M154" s="1"/>
      <c r="N154" s="1"/>
    </row>
    <row r="155" spans="1:14" x14ac:dyDescent="0.3">
      <c r="A155" s="1" t="s">
        <v>566</v>
      </c>
      <c r="B155" s="3" t="str" cm="1">
        <f t="array" ref="B155">_xlfn.XLOOKUP(tbMedições[[#This Row],[EMPRESA]]&amp;tbMedições[[#This Row],[OBRA]],tbContratos[EMPRESA]&amp;tbContratos[OBRA],tbContratos[CONTRATO_ID],"Não localizado")</f>
        <v>CT044</v>
      </c>
      <c r="C155" s="1" t="s">
        <v>88</v>
      </c>
      <c r="D155" s="1" t="s">
        <v>56</v>
      </c>
      <c r="E155" s="2" t="s">
        <v>11</v>
      </c>
      <c r="F155" s="2">
        <v>0.3</v>
      </c>
      <c r="G155" s="4">
        <v>46254</v>
      </c>
      <c r="H155" s="1"/>
      <c r="I15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155" s="4" t="str">
        <f>TEXT(tbMedições[[#This Row],[DATA REFERÊNCIA]],"aa/mm")</f>
        <v>26/08</v>
      </c>
      <c r="K155" s="12">
        <f>_xlfn.XLOOKUP(tbMedições[[#This Row],[CONTRATO_ID]],tbContratos[CONTRATO_ID],tbContratos[VALOR CONTRATO],"Não encontrado")*tbMedições[[#This Row],[PERCENTUAL]]</f>
        <v>1500</v>
      </c>
      <c r="L155" s="1" t="s">
        <v>392</v>
      </c>
      <c r="M155" s="1"/>
      <c r="N155" s="1"/>
    </row>
    <row r="156" spans="1:14" x14ac:dyDescent="0.3">
      <c r="A156" s="1" t="s">
        <v>567</v>
      </c>
      <c r="B156" s="3" t="str" cm="1">
        <f t="array" ref="B156">_xlfn.XLOOKUP(tbMedições[[#This Row],[EMPRESA]]&amp;tbMedições[[#This Row],[OBRA]],tbContratos[EMPRESA]&amp;tbContratos[OBRA],tbContratos[CONTRATO_ID],"Não localizado")</f>
        <v>CT044</v>
      </c>
      <c r="C156" s="1" t="s">
        <v>88</v>
      </c>
      <c r="D156" s="1" t="s">
        <v>56</v>
      </c>
      <c r="E156" s="2" t="s">
        <v>568</v>
      </c>
      <c r="F156" s="2">
        <v>0.7</v>
      </c>
      <c r="G156" s="4">
        <v>46315</v>
      </c>
      <c r="H156" s="1"/>
      <c r="I15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156" s="4" t="str">
        <f>TEXT(tbMedições[[#This Row],[DATA REFERÊNCIA]],"aa/mm")</f>
        <v>26/10</v>
      </c>
      <c r="K156" s="12">
        <f>_xlfn.XLOOKUP(tbMedições[[#This Row],[CONTRATO_ID]],tbContratos[CONTRATO_ID],tbContratos[VALOR CONTRATO],"Não encontrado")*tbMedições[[#This Row],[PERCENTUAL]]</f>
        <v>3500</v>
      </c>
      <c r="L156" s="1" t="s">
        <v>392</v>
      </c>
      <c r="M156" s="1"/>
      <c r="N156" s="1"/>
    </row>
    <row r="157" spans="1:14" x14ac:dyDescent="0.3">
      <c r="A157" s="1" t="s">
        <v>569</v>
      </c>
      <c r="B157" s="3" t="str" cm="1">
        <f t="array" ref="B157">_xlfn.XLOOKUP(tbMedições[[#This Row],[EMPRESA]]&amp;tbMedições[[#This Row],[OBRA]],tbContratos[EMPRESA]&amp;tbContratos[OBRA],tbContratos[CONTRATO_ID],"Não localizado")</f>
        <v>CT045</v>
      </c>
      <c r="C157" s="1" t="s">
        <v>88</v>
      </c>
      <c r="D157" s="1" t="s">
        <v>57</v>
      </c>
      <c r="E157" s="2" t="s">
        <v>11</v>
      </c>
      <c r="F157" s="2">
        <v>0.3</v>
      </c>
      <c r="G157" s="4">
        <v>46254</v>
      </c>
      <c r="H157" s="1"/>
      <c r="I15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157" s="4" t="str">
        <f>TEXT(tbMedições[[#This Row],[DATA REFERÊNCIA]],"aa/mm")</f>
        <v>26/08</v>
      </c>
      <c r="K157" s="12">
        <f>_xlfn.XLOOKUP(tbMedições[[#This Row],[CONTRATO_ID]],tbContratos[CONTRATO_ID],tbContratos[VALOR CONTRATO],"Não encontrado")*tbMedições[[#This Row],[PERCENTUAL]]</f>
        <v>1500</v>
      </c>
      <c r="L157" s="1" t="s">
        <v>392</v>
      </c>
      <c r="M157" s="1"/>
      <c r="N157" s="1"/>
    </row>
    <row r="158" spans="1:14" x14ac:dyDescent="0.3">
      <c r="A158" s="1" t="s">
        <v>570</v>
      </c>
      <c r="B158" s="3" t="str" cm="1">
        <f t="array" ref="B158">_xlfn.XLOOKUP(tbMedições[[#This Row],[EMPRESA]]&amp;tbMedições[[#This Row],[OBRA]],tbContratos[EMPRESA]&amp;tbContratos[OBRA],tbContratos[CONTRATO_ID],"Não localizado")</f>
        <v>CT045</v>
      </c>
      <c r="C158" s="1" t="s">
        <v>88</v>
      </c>
      <c r="D158" s="1" t="s">
        <v>57</v>
      </c>
      <c r="E158" s="2" t="s">
        <v>568</v>
      </c>
      <c r="F158" s="2">
        <v>0.7</v>
      </c>
      <c r="G158" s="4">
        <v>46315</v>
      </c>
      <c r="H158" s="1"/>
      <c r="I15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158" s="4" t="str">
        <f>TEXT(tbMedições[[#This Row],[DATA REFERÊNCIA]],"aa/mm")</f>
        <v>26/10</v>
      </c>
      <c r="K158" s="12">
        <f>_xlfn.XLOOKUP(tbMedições[[#This Row],[CONTRATO_ID]],tbContratos[CONTRATO_ID],tbContratos[VALOR CONTRATO],"Não encontrado")*tbMedições[[#This Row],[PERCENTUAL]]</f>
        <v>3500</v>
      </c>
      <c r="L158" s="1" t="s">
        <v>392</v>
      </c>
      <c r="M158" s="1"/>
      <c r="N158" s="1"/>
    </row>
    <row r="159" spans="1:14" x14ac:dyDescent="0.3">
      <c r="A159" s="1" t="s">
        <v>571</v>
      </c>
      <c r="B159" s="3" t="str" cm="1">
        <f t="array" ref="B159">_xlfn.XLOOKUP(tbMedições[[#This Row],[EMPRESA]]&amp;tbMedições[[#This Row],[OBRA]],tbContratos[EMPRESA]&amp;tbContratos[OBRA],tbContratos[CONTRATO_ID],"Não localizado")</f>
        <v>CT046</v>
      </c>
      <c r="C159" s="1" t="s">
        <v>88</v>
      </c>
      <c r="D159" s="1" t="s">
        <v>58</v>
      </c>
      <c r="E159" s="2" t="s">
        <v>11</v>
      </c>
      <c r="F159" s="2">
        <v>0.3</v>
      </c>
      <c r="G159" s="3"/>
      <c r="H159" s="1"/>
      <c r="I15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159" s="4" t="str">
        <f>TEXT(tbMedições[[#This Row],[DATA REFERÊNCIA]],"aa/mm")</f>
        <v>00/01</v>
      </c>
      <c r="K159" s="12">
        <f>_xlfn.XLOOKUP(tbMedições[[#This Row],[CONTRATO_ID]],tbContratos[CONTRATO_ID],tbContratos[VALOR CONTRATO],"Não encontrado")*tbMedições[[#This Row],[PERCENTUAL]]</f>
        <v>1500</v>
      </c>
      <c r="L159" s="1" t="s">
        <v>20</v>
      </c>
      <c r="M159" s="1"/>
      <c r="N159" s="1"/>
    </row>
    <row r="160" spans="1:14" x14ac:dyDescent="0.3">
      <c r="A160" s="1" t="s">
        <v>572</v>
      </c>
      <c r="B160" s="3" t="str" cm="1">
        <f t="array" ref="B160">_xlfn.XLOOKUP(tbMedições[[#This Row],[EMPRESA]]&amp;tbMedições[[#This Row],[OBRA]],tbContratos[EMPRESA]&amp;tbContratos[OBRA],tbContratos[CONTRATO_ID],"Não localizado")</f>
        <v>CT046</v>
      </c>
      <c r="C160" s="1" t="s">
        <v>88</v>
      </c>
      <c r="D160" s="1" t="s">
        <v>58</v>
      </c>
      <c r="E160" s="2" t="s">
        <v>568</v>
      </c>
      <c r="F160" s="2">
        <v>0.7</v>
      </c>
      <c r="G160" s="3"/>
      <c r="H160" s="1"/>
      <c r="I16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160" s="4" t="str">
        <f>TEXT(tbMedições[[#This Row],[DATA REFERÊNCIA]],"aa/mm")</f>
        <v>00/01</v>
      </c>
      <c r="K160" s="12">
        <f>_xlfn.XLOOKUP(tbMedições[[#This Row],[CONTRATO_ID]],tbContratos[CONTRATO_ID],tbContratos[VALOR CONTRATO],"Não encontrado")*tbMedições[[#This Row],[PERCENTUAL]]</f>
        <v>3500</v>
      </c>
      <c r="L160" s="1" t="s">
        <v>20</v>
      </c>
      <c r="M160" s="1"/>
      <c r="N160" s="1"/>
    </row>
    <row r="161" spans="1:14" x14ac:dyDescent="0.3">
      <c r="A161" s="1" t="s">
        <v>587</v>
      </c>
      <c r="B161" s="3" t="str" cm="1">
        <f t="array" ref="B161">_xlfn.XLOOKUP(tbMedições[[#This Row],[EMPRESA]]&amp;tbMedições[[#This Row],[OBRA]],tbContratos[EMPRESA]&amp;tbContratos[OBRA],tbContratos[CONTRATO_ID],"Não localizado")</f>
        <v>CT047</v>
      </c>
      <c r="C161" s="1" t="s">
        <v>94</v>
      </c>
      <c r="D161" s="1" t="s">
        <v>47</v>
      </c>
      <c r="E161" s="2" t="s">
        <v>577</v>
      </c>
      <c r="F161" s="2">
        <v>0.1</v>
      </c>
      <c r="G161" s="3"/>
      <c r="H161" s="4">
        <v>46101</v>
      </c>
      <c r="I16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46101</v>
      </c>
      <c r="J161" s="4" t="str">
        <f>TEXT(tbMedições[[#This Row],[DATA REFERÊNCIA]],"aa/mm")</f>
        <v>26/03</v>
      </c>
      <c r="K161" s="12">
        <f>_xlfn.XLOOKUP(tbMedições[[#This Row],[CONTRATO_ID]],tbContratos[CONTRATO_ID],tbContratos[VALOR CONTRATO],"Não encontrado")*tbMedições[[#This Row],[PERCENTUAL]]</f>
        <v>1425</v>
      </c>
      <c r="L161" s="1" t="s">
        <v>19</v>
      </c>
      <c r="M161" s="1"/>
      <c r="N161" s="1"/>
    </row>
    <row r="162" spans="1:14" x14ac:dyDescent="0.3">
      <c r="A162" s="1" t="s">
        <v>588</v>
      </c>
      <c r="B162" s="3" t="str" cm="1">
        <f t="array" ref="B162">_xlfn.XLOOKUP(tbMedições[[#This Row],[EMPRESA]]&amp;tbMedições[[#This Row],[OBRA]],tbContratos[EMPRESA]&amp;tbContratos[OBRA],tbContratos[CONTRATO_ID],"Não localizado")</f>
        <v>CT047</v>
      </c>
      <c r="C162" s="1" t="s">
        <v>94</v>
      </c>
      <c r="D162" s="1" t="s">
        <v>47</v>
      </c>
      <c r="E162" s="2" t="s">
        <v>578</v>
      </c>
      <c r="F162" s="2">
        <v>0.1</v>
      </c>
      <c r="G162" s="3"/>
      <c r="H162" s="4">
        <v>46140</v>
      </c>
      <c r="I16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46140</v>
      </c>
      <c r="J162" s="4" t="str">
        <f>TEXT(tbMedições[[#This Row],[DATA REFERÊNCIA]],"aa/mm")</f>
        <v>26/04</v>
      </c>
      <c r="K162" s="12">
        <f>_xlfn.XLOOKUP(tbMedições[[#This Row],[CONTRATO_ID]],tbContratos[CONTRATO_ID],tbContratos[VALOR CONTRATO],"Não encontrado")*tbMedições[[#This Row],[PERCENTUAL]]</f>
        <v>1425</v>
      </c>
      <c r="L162" s="1" t="s">
        <v>19</v>
      </c>
      <c r="M162" s="1"/>
      <c r="N162" s="1"/>
    </row>
    <row r="163" spans="1:14" x14ac:dyDescent="0.3">
      <c r="A163" s="1" t="s">
        <v>589</v>
      </c>
      <c r="B163" s="3" t="str" cm="1">
        <f t="array" ref="B163">_xlfn.XLOOKUP(tbMedições[[#This Row],[EMPRESA]]&amp;tbMedições[[#This Row],[OBRA]],tbContratos[EMPRESA]&amp;tbContratos[OBRA],tbContratos[CONTRATO_ID],"Não localizado")</f>
        <v>CT047</v>
      </c>
      <c r="C163" s="1" t="s">
        <v>94</v>
      </c>
      <c r="D163" s="1" t="s">
        <v>47</v>
      </c>
      <c r="E163" s="2" t="s">
        <v>579</v>
      </c>
      <c r="F163" s="2">
        <v>0.1</v>
      </c>
      <c r="G163" s="3"/>
      <c r="H163" s="4">
        <v>46157</v>
      </c>
      <c r="I16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46157</v>
      </c>
      <c r="J163" s="4" t="str">
        <f>TEXT(tbMedições[[#This Row],[DATA REFERÊNCIA]],"aa/mm")</f>
        <v>26/05</v>
      </c>
      <c r="K163" s="12">
        <f>_xlfn.XLOOKUP(tbMedições[[#This Row],[CONTRATO_ID]],tbContratos[CONTRATO_ID],tbContratos[VALOR CONTRATO],"Não encontrado")*tbMedições[[#This Row],[PERCENTUAL]]</f>
        <v>1425</v>
      </c>
      <c r="L163" s="1" t="s">
        <v>19</v>
      </c>
      <c r="M163" s="1"/>
      <c r="N163" s="1"/>
    </row>
    <row r="164" spans="1:14" x14ac:dyDescent="0.3">
      <c r="A164" s="1" t="s">
        <v>590</v>
      </c>
      <c r="B164" s="3" t="str" cm="1">
        <f t="array" ref="B164">_xlfn.XLOOKUP(tbMedições[[#This Row],[EMPRESA]]&amp;tbMedições[[#This Row],[OBRA]],tbContratos[EMPRESA]&amp;tbContratos[OBRA],tbContratos[CONTRATO_ID],"Não localizado")</f>
        <v>CT047</v>
      </c>
      <c r="C164" s="1" t="s">
        <v>94</v>
      </c>
      <c r="D164" s="1" t="s">
        <v>47</v>
      </c>
      <c r="E164" s="2" t="s">
        <v>580</v>
      </c>
      <c r="F164" s="2">
        <v>0.1</v>
      </c>
      <c r="G164" s="3"/>
      <c r="H164" s="4">
        <v>46185</v>
      </c>
      <c r="I16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64" s="4" t="str">
        <f>TEXT(tbMedições[[#This Row],[DATA REFERÊNCIA]],"aa/mm")</f>
        <v>26/06</v>
      </c>
      <c r="K164" s="12">
        <f>_xlfn.XLOOKUP(tbMedições[[#This Row],[CONTRATO_ID]],tbContratos[CONTRATO_ID],tbContratos[VALOR CONTRATO],"Não encontrado")*tbMedições[[#This Row],[PERCENTUAL]]</f>
        <v>1425</v>
      </c>
      <c r="L164" s="1" t="s">
        <v>19</v>
      </c>
      <c r="M164" s="1"/>
      <c r="N164" s="1"/>
    </row>
    <row r="165" spans="1:14" x14ac:dyDescent="0.3">
      <c r="A165" s="1" t="s">
        <v>591</v>
      </c>
      <c r="B165" s="3" t="str" cm="1">
        <f t="array" ref="B165">_xlfn.XLOOKUP(tbMedições[[#This Row],[EMPRESA]]&amp;tbMedições[[#This Row],[OBRA]],tbContratos[EMPRESA]&amp;tbContratos[OBRA],tbContratos[CONTRATO_ID],"Não localizado")</f>
        <v>CT047</v>
      </c>
      <c r="C165" s="1" t="s">
        <v>94</v>
      </c>
      <c r="D165" s="1" t="s">
        <v>47</v>
      </c>
      <c r="E165" s="2" t="s">
        <v>581</v>
      </c>
      <c r="F165" s="2">
        <v>0.1</v>
      </c>
      <c r="G165" s="3"/>
      <c r="H165" s="4">
        <v>46227</v>
      </c>
      <c r="I16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46227</v>
      </c>
      <c r="J165" s="4" t="str">
        <f>TEXT(tbMedições[[#This Row],[DATA REFERÊNCIA]],"aa/mm")</f>
        <v>26/07</v>
      </c>
      <c r="K165" s="12">
        <f>_xlfn.XLOOKUP(tbMedições[[#This Row],[CONTRATO_ID]],tbContratos[CONTRATO_ID],tbContratos[VALOR CONTRATO],"Não encontrado")*tbMedições[[#This Row],[PERCENTUAL]]</f>
        <v>1425</v>
      </c>
      <c r="L165" s="1" t="s">
        <v>19</v>
      </c>
      <c r="M165" s="1"/>
      <c r="N165" s="1"/>
    </row>
    <row r="166" spans="1:14" x14ac:dyDescent="0.3">
      <c r="A166" s="1" t="s">
        <v>592</v>
      </c>
      <c r="B166" s="3" t="str" cm="1">
        <f t="array" ref="B166">_xlfn.XLOOKUP(tbMedições[[#This Row],[EMPRESA]]&amp;tbMedições[[#This Row],[OBRA]],tbContratos[EMPRESA]&amp;tbContratos[OBRA],tbContratos[CONTRATO_ID],"Não localizado")</f>
        <v>CT047</v>
      </c>
      <c r="C166" s="1" t="s">
        <v>94</v>
      </c>
      <c r="D166" s="1" t="s">
        <v>47</v>
      </c>
      <c r="E166" s="2" t="s">
        <v>582</v>
      </c>
      <c r="F166" s="2">
        <v>0.1</v>
      </c>
      <c r="G166" s="4">
        <v>46258</v>
      </c>
      <c r="H166" s="1"/>
      <c r="I16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46258</v>
      </c>
      <c r="J166" s="4" t="str">
        <f>TEXT(tbMedições[[#This Row],[DATA REFERÊNCIA]],"aa/mm")</f>
        <v>26/08</v>
      </c>
      <c r="K166" s="12">
        <f>_xlfn.XLOOKUP(tbMedições[[#This Row],[CONTRATO_ID]],tbContratos[CONTRATO_ID],tbContratos[VALOR CONTRATO],"Não encontrado")*tbMedições[[#This Row],[PERCENTUAL]]</f>
        <v>1425</v>
      </c>
      <c r="L166" s="1" t="s">
        <v>393</v>
      </c>
      <c r="M166" s="1"/>
      <c r="N166" s="1"/>
    </row>
    <row r="167" spans="1:14" x14ac:dyDescent="0.3">
      <c r="A167" s="1" t="s">
        <v>593</v>
      </c>
      <c r="B167" s="3" t="str" cm="1">
        <f t="array" ref="B167">_xlfn.XLOOKUP(tbMedições[[#This Row],[EMPRESA]]&amp;tbMedições[[#This Row],[OBRA]],tbContratos[EMPRESA]&amp;tbContratos[OBRA],tbContratos[CONTRATO_ID],"Não localizado")</f>
        <v>CT047</v>
      </c>
      <c r="C167" s="1" t="s">
        <v>94</v>
      </c>
      <c r="D167" s="1" t="s">
        <v>47</v>
      </c>
      <c r="E167" s="2" t="s">
        <v>583</v>
      </c>
      <c r="F167" s="2">
        <v>0.1</v>
      </c>
      <c r="G167" s="4">
        <v>46289</v>
      </c>
      <c r="H167" s="1"/>
      <c r="I16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46289</v>
      </c>
      <c r="J167" s="4" t="str">
        <f>TEXT(tbMedições[[#This Row],[DATA REFERÊNCIA]],"aa/mm")</f>
        <v>26/09</v>
      </c>
      <c r="K167" s="12">
        <f>_xlfn.XLOOKUP(tbMedições[[#This Row],[CONTRATO_ID]],tbContratos[CONTRATO_ID],tbContratos[VALOR CONTRATO],"Não encontrado")*tbMedições[[#This Row],[PERCENTUAL]]</f>
        <v>1425</v>
      </c>
      <c r="L167" s="1" t="s">
        <v>392</v>
      </c>
      <c r="M167" s="1"/>
      <c r="N167" s="1"/>
    </row>
    <row r="168" spans="1:14" x14ac:dyDescent="0.3">
      <c r="A168" s="1" t="s">
        <v>594</v>
      </c>
      <c r="B168" s="3" t="str" cm="1">
        <f t="array" ref="B168">_xlfn.XLOOKUP(tbMedições[[#This Row],[EMPRESA]]&amp;tbMedições[[#This Row],[OBRA]],tbContratos[EMPRESA]&amp;tbContratos[OBRA],tbContratos[CONTRATO_ID],"Não localizado")</f>
        <v>CT047</v>
      </c>
      <c r="C168" s="1" t="s">
        <v>94</v>
      </c>
      <c r="D168" s="1" t="s">
        <v>47</v>
      </c>
      <c r="E168" s="2" t="s">
        <v>584</v>
      </c>
      <c r="F168" s="2">
        <v>0.1</v>
      </c>
      <c r="G168" s="4">
        <v>46319</v>
      </c>
      <c r="H168" s="1"/>
      <c r="I16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46319</v>
      </c>
      <c r="J168" s="4" t="str">
        <f>TEXT(tbMedições[[#This Row],[DATA REFERÊNCIA]],"aa/mm")</f>
        <v>26/10</v>
      </c>
      <c r="K168" s="12">
        <f>_xlfn.XLOOKUP(tbMedições[[#This Row],[CONTRATO_ID]],tbContratos[CONTRATO_ID],tbContratos[VALOR CONTRATO],"Não encontrado")*tbMedições[[#This Row],[PERCENTUAL]]</f>
        <v>1425</v>
      </c>
      <c r="L168" s="1" t="s">
        <v>392</v>
      </c>
      <c r="M168" s="1"/>
      <c r="N168" s="1"/>
    </row>
    <row r="169" spans="1:14" x14ac:dyDescent="0.3">
      <c r="A169" s="1" t="s">
        <v>595</v>
      </c>
      <c r="B169" s="3" t="str" cm="1">
        <f t="array" ref="B169">_xlfn.XLOOKUP(tbMedições[[#This Row],[EMPRESA]]&amp;tbMedições[[#This Row],[OBRA]],tbContratos[EMPRESA]&amp;tbContratos[OBRA],tbContratos[CONTRATO_ID],"Não localizado")</f>
        <v>CT047</v>
      </c>
      <c r="C169" s="1" t="s">
        <v>94</v>
      </c>
      <c r="D169" s="1" t="s">
        <v>47</v>
      </c>
      <c r="E169" s="2" t="s">
        <v>585</v>
      </c>
      <c r="F169" s="2">
        <v>0.1</v>
      </c>
      <c r="G169" s="4">
        <v>46350</v>
      </c>
      <c r="H169" s="1"/>
      <c r="I16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46350</v>
      </c>
      <c r="J169" s="4" t="str">
        <f>TEXT(tbMedições[[#This Row],[DATA REFERÊNCIA]],"aa/mm")</f>
        <v>26/11</v>
      </c>
      <c r="K169" s="12">
        <f>_xlfn.XLOOKUP(tbMedições[[#This Row],[CONTRATO_ID]],tbContratos[CONTRATO_ID],tbContratos[VALOR CONTRATO],"Não encontrado")*tbMedições[[#This Row],[PERCENTUAL]]</f>
        <v>1425</v>
      </c>
      <c r="L169" s="1" t="s">
        <v>392</v>
      </c>
      <c r="M169" s="1"/>
      <c r="N169" s="1"/>
    </row>
    <row r="170" spans="1:14" x14ac:dyDescent="0.3">
      <c r="A170" s="1" t="s">
        <v>596</v>
      </c>
      <c r="B170" s="3" t="str" cm="1">
        <f t="array" ref="B170">_xlfn.XLOOKUP(tbMedições[[#This Row],[EMPRESA]]&amp;tbMedições[[#This Row],[OBRA]],tbContratos[EMPRESA]&amp;tbContratos[OBRA],tbContratos[CONTRATO_ID],"Não localizado")</f>
        <v>CT047</v>
      </c>
      <c r="C170" s="1" t="s">
        <v>94</v>
      </c>
      <c r="D170" s="1" t="s">
        <v>47</v>
      </c>
      <c r="E170" s="2" t="s">
        <v>586</v>
      </c>
      <c r="F170" s="2">
        <v>0.1</v>
      </c>
      <c r="G170" s="4">
        <v>46380</v>
      </c>
      <c r="H170" s="1"/>
      <c r="I17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46380</v>
      </c>
      <c r="J170" s="4" t="str">
        <f>TEXT(tbMedições[[#This Row],[DATA REFERÊNCIA]],"aa/mm")</f>
        <v>26/12</v>
      </c>
      <c r="K170" s="12">
        <f>_xlfn.XLOOKUP(tbMedições[[#This Row],[CONTRATO_ID]],tbContratos[CONTRATO_ID],tbContratos[VALOR CONTRATO],"Não encontrado")*tbMedições[[#This Row],[PERCENTUAL]]</f>
        <v>1425</v>
      </c>
      <c r="L170" s="1" t="s">
        <v>392</v>
      </c>
      <c r="M170" s="1"/>
      <c r="N170" s="1"/>
    </row>
    <row r="171" spans="1:14" x14ac:dyDescent="0.3">
      <c r="A171" s="1" t="s">
        <v>597</v>
      </c>
      <c r="B171" s="3" t="str" cm="1">
        <f t="array" ref="B171">_xlfn.XLOOKUP(tbMedições[[#This Row],[EMPRESA]]&amp;tbMedições[[#This Row],[OBRA]],tbContratos[EMPRESA]&amp;tbContratos[OBRA],tbContratos[CONTRATO_ID],"Não localizado")</f>
        <v>CT050</v>
      </c>
      <c r="C171" s="1" t="s">
        <v>94</v>
      </c>
      <c r="D171" s="1" t="s">
        <v>56</v>
      </c>
      <c r="E171" s="2" t="s">
        <v>577</v>
      </c>
      <c r="F171" s="2">
        <v>0.1</v>
      </c>
      <c r="G171" s="3"/>
      <c r="H171" s="4">
        <v>46101</v>
      </c>
      <c r="I17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46101</v>
      </c>
      <c r="J171" s="4" t="str">
        <f>TEXT(tbMedições[[#This Row],[DATA REFERÊNCIA]],"aa/mm")</f>
        <v>26/03</v>
      </c>
      <c r="K171" s="12">
        <f>_xlfn.XLOOKUP(tbMedições[[#This Row],[CONTRATO_ID]],tbContratos[CONTRATO_ID],tbContratos[VALOR CONTRATO],"Não encontrado")*tbMedições[[#This Row],[PERCENTUAL]]</f>
        <v>1425</v>
      </c>
      <c r="L171" s="1" t="s">
        <v>19</v>
      </c>
      <c r="M171" s="1"/>
      <c r="N171" s="1"/>
    </row>
    <row r="172" spans="1:14" x14ac:dyDescent="0.3">
      <c r="A172" s="1" t="s">
        <v>598</v>
      </c>
      <c r="B172" s="3" t="str" cm="1">
        <f t="array" ref="B172">_xlfn.XLOOKUP(tbMedições[[#This Row],[EMPRESA]]&amp;tbMedições[[#This Row],[OBRA]],tbContratos[EMPRESA]&amp;tbContratos[OBRA],tbContratos[CONTRATO_ID],"Não localizado")</f>
        <v>CT050</v>
      </c>
      <c r="C172" s="1" t="s">
        <v>94</v>
      </c>
      <c r="D172" s="1" t="s">
        <v>56</v>
      </c>
      <c r="E172" s="2" t="s">
        <v>578</v>
      </c>
      <c r="F172" s="2">
        <v>0.1</v>
      </c>
      <c r="G172" s="3"/>
      <c r="H172" s="4">
        <v>46140</v>
      </c>
      <c r="I17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46140</v>
      </c>
      <c r="J172" s="4" t="str">
        <f>TEXT(tbMedições[[#This Row],[DATA REFERÊNCIA]],"aa/mm")</f>
        <v>26/04</v>
      </c>
      <c r="K172" s="12">
        <f>_xlfn.XLOOKUP(tbMedições[[#This Row],[CONTRATO_ID]],tbContratos[CONTRATO_ID],tbContratos[VALOR CONTRATO],"Não encontrado")*tbMedições[[#This Row],[PERCENTUAL]]</f>
        <v>1425</v>
      </c>
      <c r="L172" s="1" t="s">
        <v>19</v>
      </c>
      <c r="M172" s="1"/>
      <c r="N172" s="1"/>
    </row>
    <row r="173" spans="1:14" x14ac:dyDescent="0.3">
      <c r="A173" s="1" t="s">
        <v>599</v>
      </c>
      <c r="B173" s="3" t="str" cm="1">
        <f t="array" ref="B173">_xlfn.XLOOKUP(tbMedições[[#This Row],[EMPRESA]]&amp;tbMedições[[#This Row],[OBRA]],tbContratos[EMPRESA]&amp;tbContratos[OBRA],tbContratos[CONTRATO_ID],"Não localizado")</f>
        <v>CT050</v>
      </c>
      <c r="C173" s="1" t="s">
        <v>94</v>
      </c>
      <c r="D173" s="1" t="s">
        <v>56</v>
      </c>
      <c r="E173" s="2" t="s">
        <v>579</v>
      </c>
      <c r="F173" s="2">
        <v>0.1</v>
      </c>
      <c r="G173" s="3"/>
      <c r="H173" s="4">
        <v>46157</v>
      </c>
      <c r="I17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46157</v>
      </c>
      <c r="J173" s="4" t="str">
        <f>TEXT(tbMedições[[#This Row],[DATA REFERÊNCIA]],"aa/mm")</f>
        <v>26/05</v>
      </c>
      <c r="K173" s="12">
        <f>_xlfn.XLOOKUP(tbMedições[[#This Row],[CONTRATO_ID]],tbContratos[CONTRATO_ID],tbContratos[VALOR CONTRATO],"Não encontrado")*tbMedições[[#This Row],[PERCENTUAL]]</f>
        <v>1425</v>
      </c>
      <c r="L173" s="1" t="s">
        <v>19</v>
      </c>
      <c r="M173" s="1"/>
      <c r="N173" s="1"/>
    </row>
    <row r="174" spans="1:14" x14ac:dyDescent="0.3">
      <c r="A174" s="1" t="s">
        <v>600</v>
      </c>
      <c r="B174" s="3" t="str" cm="1">
        <f t="array" ref="B174">_xlfn.XLOOKUP(tbMedições[[#This Row],[EMPRESA]]&amp;tbMedições[[#This Row],[OBRA]],tbContratos[EMPRESA]&amp;tbContratos[OBRA],tbContratos[CONTRATO_ID],"Não localizado")</f>
        <v>CT050</v>
      </c>
      <c r="C174" s="1" t="s">
        <v>94</v>
      </c>
      <c r="D174" s="1" t="s">
        <v>56</v>
      </c>
      <c r="E174" s="2" t="s">
        <v>580</v>
      </c>
      <c r="F174" s="2">
        <v>0.1</v>
      </c>
      <c r="G174" s="3"/>
      <c r="H174" s="4">
        <v>46185</v>
      </c>
      <c r="I17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74" s="4" t="str">
        <f>TEXT(tbMedições[[#This Row],[DATA REFERÊNCIA]],"aa/mm")</f>
        <v>26/06</v>
      </c>
      <c r="K174" s="12">
        <f>_xlfn.XLOOKUP(tbMedições[[#This Row],[CONTRATO_ID]],tbContratos[CONTRATO_ID],tbContratos[VALOR CONTRATO],"Não encontrado")*tbMedições[[#This Row],[PERCENTUAL]]</f>
        <v>1425</v>
      </c>
      <c r="L174" s="1" t="s">
        <v>19</v>
      </c>
      <c r="M174" s="1"/>
      <c r="N174" s="1"/>
    </row>
    <row r="175" spans="1:14" x14ac:dyDescent="0.3">
      <c r="A175" s="1" t="s">
        <v>601</v>
      </c>
      <c r="B175" s="3" t="str" cm="1">
        <f t="array" ref="B175">_xlfn.XLOOKUP(tbMedições[[#This Row],[EMPRESA]]&amp;tbMedições[[#This Row],[OBRA]],tbContratos[EMPRESA]&amp;tbContratos[OBRA],tbContratos[CONTRATO_ID],"Não localizado")</f>
        <v>CT050</v>
      </c>
      <c r="C175" s="1" t="s">
        <v>94</v>
      </c>
      <c r="D175" s="1" t="s">
        <v>56</v>
      </c>
      <c r="E175" s="2" t="s">
        <v>581</v>
      </c>
      <c r="F175" s="2">
        <v>0.1</v>
      </c>
      <c r="G175" s="3"/>
      <c r="H175" s="4">
        <v>46227</v>
      </c>
      <c r="I17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46227</v>
      </c>
      <c r="J175" s="4" t="str">
        <f>TEXT(tbMedições[[#This Row],[DATA REFERÊNCIA]],"aa/mm")</f>
        <v>26/07</v>
      </c>
      <c r="K175" s="12">
        <f>_xlfn.XLOOKUP(tbMedições[[#This Row],[CONTRATO_ID]],tbContratos[CONTRATO_ID],tbContratos[VALOR CONTRATO],"Não encontrado")*tbMedições[[#This Row],[PERCENTUAL]]</f>
        <v>1425</v>
      </c>
      <c r="L175" s="1" t="s">
        <v>19</v>
      </c>
      <c r="M175" s="1"/>
      <c r="N175" s="1"/>
    </row>
    <row r="176" spans="1:14" x14ac:dyDescent="0.3">
      <c r="A176" s="1" t="s">
        <v>602</v>
      </c>
      <c r="B176" s="3" t="str" cm="1">
        <f t="array" ref="B176">_xlfn.XLOOKUP(tbMedições[[#This Row],[EMPRESA]]&amp;tbMedições[[#This Row],[OBRA]],tbContratos[EMPRESA]&amp;tbContratos[OBRA],tbContratos[CONTRATO_ID],"Não localizado")</f>
        <v>CT050</v>
      </c>
      <c r="C176" s="1" t="s">
        <v>94</v>
      </c>
      <c r="D176" s="1" t="s">
        <v>56</v>
      </c>
      <c r="E176" s="2" t="s">
        <v>582</v>
      </c>
      <c r="F176" s="2">
        <v>0.1</v>
      </c>
      <c r="G176" s="4">
        <v>46258</v>
      </c>
      <c r="H176" s="1"/>
      <c r="I17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46258</v>
      </c>
      <c r="J176" s="4" t="str">
        <f>TEXT(tbMedições[[#This Row],[DATA REFERÊNCIA]],"aa/mm")</f>
        <v>26/08</v>
      </c>
      <c r="K176" s="12">
        <f>_xlfn.XLOOKUP(tbMedições[[#This Row],[CONTRATO_ID]],tbContratos[CONTRATO_ID],tbContratos[VALOR CONTRATO],"Não encontrado")*tbMedições[[#This Row],[PERCENTUAL]]</f>
        <v>1425</v>
      </c>
      <c r="L176" s="1" t="s">
        <v>393</v>
      </c>
      <c r="M176" s="1"/>
      <c r="N176" s="1"/>
    </row>
    <row r="177" spans="1:14" x14ac:dyDescent="0.3">
      <c r="A177" s="1" t="s">
        <v>603</v>
      </c>
      <c r="B177" s="3" t="str" cm="1">
        <f t="array" ref="B177">_xlfn.XLOOKUP(tbMedições[[#This Row],[EMPRESA]]&amp;tbMedições[[#This Row],[OBRA]],tbContratos[EMPRESA]&amp;tbContratos[OBRA],tbContratos[CONTRATO_ID],"Não localizado")</f>
        <v>CT050</v>
      </c>
      <c r="C177" s="1" t="s">
        <v>94</v>
      </c>
      <c r="D177" s="1" t="s">
        <v>56</v>
      </c>
      <c r="E177" s="2" t="s">
        <v>583</v>
      </c>
      <c r="F177" s="2">
        <v>0.1</v>
      </c>
      <c r="G177" s="4">
        <v>46289</v>
      </c>
      <c r="H177" s="1"/>
      <c r="I17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46289</v>
      </c>
      <c r="J177" s="4" t="str">
        <f>TEXT(tbMedições[[#This Row],[DATA REFERÊNCIA]],"aa/mm")</f>
        <v>26/09</v>
      </c>
      <c r="K177" s="12">
        <f>_xlfn.XLOOKUP(tbMedições[[#This Row],[CONTRATO_ID]],tbContratos[CONTRATO_ID],tbContratos[VALOR CONTRATO],"Não encontrado")*tbMedições[[#This Row],[PERCENTUAL]]</f>
        <v>1425</v>
      </c>
      <c r="L177" s="1" t="s">
        <v>392</v>
      </c>
      <c r="M177" s="1"/>
      <c r="N177" s="1"/>
    </row>
    <row r="178" spans="1:14" x14ac:dyDescent="0.3">
      <c r="A178" s="1" t="s">
        <v>604</v>
      </c>
      <c r="B178" s="3" t="str" cm="1">
        <f t="array" ref="B178">_xlfn.XLOOKUP(tbMedições[[#This Row],[EMPRESA]]&amp;tbMedições[[#This Row],[OBRA]],tbContratos[EMPRESA]&amp;tbContratos[OBRA],tbContratos[CONTRATO_ID],"Não localizado")</f>
        <v>CT050</v>
      </c>
      <c r="C178" s="1" t="s">
        <v>94</v>
      </c>
      <c r="D178" s="1" t="s">
        <v>56</v>
      </c>
      <c r="E178" s="2" t="s">
        <v>584</v>
      </c>
      <c r="F178" s="2">
        <v>0.1</v>
      </c>
      <c r="G178" s="4">
        <v>46319</v>
      </c>
      <c r="H178" s="1"/>
      <c r="I17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46319</v>
      </c>
      <c r="J178" s="4" t="str">
        <f>TEXT(tbMedições[[#This Row],[DATA REFERÊNCIA]],"aa/mm")</f>
        <v>26/10</v>
      </c>
      <c r="K178" s="12">
        <f>_xlfn.XLOOKUP(tbMedições[[#This Row],[CONTRATO_ID]],tbContratos[CONTRATO_ID],tbContratos[VALOR CONTRATO],"Não encontrado")*tbMedições[[#This Row],[PERCENTUAL]]</f>
        <v>1425</v>
      </c>
      <c r="L178" s="1" t="s">
        <v>392</v>
      </c>
      <c r="M178" s="1"/>
      <c r="N178" s="1"/>
    </row>
    <row r="179" spans="1:14" x14ac:dyDescent="0.3">
      <c r="A179" s="1" t="s">
        <v>605</v>
      </c>
      <c r="B179" s="3" t="str" cm="1">
        <f t="array" ref="B179">_xlfn.XLOOKUP(tbMedições[[#This Row],[EMPRESA]]&amp;tbMedições[[#This Row],[OBRA]],tbContratos[EMPRESA]&amp;tbContratos[OBRA],tbContratos[CONTRATO_ID],"Não localizado")</f>
        <v>CT050</v>
      </c>
      <c r="C179" s="1" t="s">
        <v>94</v>
      </c>
      <c r="D179" s="1" t="s">
        <v>56</v>
      </c>
      <c r="E179" s="2" t="s">
        <v>585</v>
      </c>
      <c r="F179" s="2">
        <v>0.1</v>
      </c>
      <c r="G179" s="4">
        <v>46350</v>
      </c>
      <c r="H179" s="1"/>
      <c r="I17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46350</v>
      </c>
      <c r="J179" s="4" t="str">
        <f>TEXT(tbMedições[[#This Row],[DATA REFERÊNCIA]],"aa/mm")</f>
        <v>26/11</v>
      </c>
      <c r="K179" s="12">
        <f>_xlfn.XLOOKUP(tbMedições[[#This Row],[CONTRATO_ID]],tbContratos[CONTRATO_ID],tbContratos[VALOR CONTRATO],"Não encontrado")*tbMedições[[#This Row],[PERCENTUAL]]</f>
        <v>1425</v>
      </c>
      <c r="L179" s="1" t="s">
        <v>392</v>
      </c>
      <c r="M179" s="1"/>
      <c r="N179" s="1"/>
    </row>
    <row r="180" spans="1:14" x14ac:dyDescent="0.3">
      <c r="A180" s="1" t="s">
        <v>606</v>
      </c>
      <c r="B180" s="3" t="str" cm="1">
        <f t="array" ref="B180">_xlfn.XLOOKUP(tbMedições[[#This Row],[EMPRESA]]&amp;tbMedições[[#This Row],[OBRA]],tbContratos[EMPRESA]&amp;tbContratos[OBRA],tbContratos[CONTRATO_ID],"Não localizado")</f>
        <v>CT050</v>
      </c>
      <c r="C180" s="1" t="s">
        <v>94</v>
      </c>
      <c r="D180" s="1" t="s">
        <v>56</v>
      </c>
      <c r="E180" s="2" t="s">
        <v>586</v>
      </c>
      <c r="F180" s="2">
        <v>0.1</v>
      </c>
      <c r="G180" s="4">
        <v>46380</v>
      </c>
      <c r="H180" s="1"/>
      <c r="I18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46380</v>
      </c>
      <c r="J180" s="4" t="str">
        <f>TEXT(tbMedições[[#This Row],[DATA REFERÊNCIA]],"aa/mm")</f>
        <v>26/12</v>
      </c>
      <c r="K180" s="12">
        <f>_xlfn.XLOOKUP(tbMedições[[#This Row],[CONTRATO_ID]],tbContratos[CONTRATO_ID],tbContratos[VALOR CONTRATO],"Não encontrado")*tbMedições[[#This Row],[PERCENTUAL]]</f>
        <v>1425</v>
      </c>
      <c r="L180" s="1" t="s">
        <v>392</v>
      </c>
      <c r="M180" s="1"/>
      <c r="N180" s="1"/>
    </row>
    <row r="181" spans="1:14" x14ac:dyDescent="0.3">
      <c r="A181" s="1" t="s">
        <v>607</v>
      </c>
      <c r="B181" s="3" t="str" cm="1">
        <f t="array" ref="B181">_xlfn.XLOOKUP(tbMedições[[#This Row],[EMPRESA]]&amp;tbMedições[[#This Row],[OBRA]],tbContratos[EMPRESA]&amp;tbContratos[OBRA],tbContratos[CONTRATO_ID],"Não localizado")</f>
        <v>CT048</v>
      </c>
      <c r="C181" s="1" t="s">
        <v>94</v>
      </c>
      <c r="D181" s="1" t="s">
        <v>57</v>
      </c>
      <c r="E181" s="2" t="s">
        <v>577</v>
      </c>
      <c r="F181" s="2">
        <v>0.1</v>
      </c>
      <c r="G181" s="3"/>
      <c r="H181" s="4">
        <v>46101</v>
      </c>
      <c r="I18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46101</v>
      </c>
      <c r="J181" s="4" t="str">
        <f>TEXT(tbMedições[[#This Row],[DATA REFERÊNCIA]],"aa/mm")</f>
        <v>26/03</v>
      </c>
      <c r="K181" s="12">
        <f>_xlfn.XLOOKUP(tbMedições[[#This Row],[CONTRATO_ID]],tbContratos[CONTRATO_ID],tbContratos[VALOR CONTRATO],"Não encontrado")*tbMedições[[#This Row],[PERCENTUAL]]</f>
        <v>1425</v>
      </c>
      <c r="L181" s="1" t="s">
        <v>19</v>
      </c>
      <c r="M181" s="1"/>
      <c r="N181" s="1"/>
    </row>
    <row r="182" spans="1:14" x14ac:dyDescent="0.3">
      <c r="A182" s="1" t="s">
        <v>608</v>
      </c>
      <c r="B182" s="3" t="str" cm="1">
        <f t="array" ref="B182">_xlfn.XLOOKUP(tbMedições[[#This Row],[EMPRESA]]&amp;tbMedições[[#This Row],[OBRA]],tbContratos[EMPRESA]&amp;tbContratos[OBRA],tbContratos[CONTRATO_ID],"Não localizado")</f>
        <v>CT048</v>
      </c>
      <c r="C182" s="1" t="s">
        <v>94</v>
      </c>
      <c r="D182" s="1" t="s">
        <v>57</v>
      </c>
      <c r="E182" s="2" t="s">
        <v>578</v>
      </c>
      <c r="F182" s="2">
        <v>0.1</v>
      </c>
      <c r="G182" s="3"/>
      <c r="H182" s="4">
        <v>46140</v>
      </c>
      <c r="I18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46140</v>
      </c>
      <c r="J182" s="4" t="str">
        <f>TEXT(tbMedições[[#This Row],[DATA REFERÊNCIA]],"aa/mm")</f>
        <v>26/04</v>
      </c>
      <c r="K182" s="12">
        <f>_xlfn.XLOOKUP(tbMedições[[#This Row],[CONTRATO_ID]],tbContratos[CONTRATO_ID],tbContratos[VALOR CONTRATO],"Não encontrado")*tbMedições[[#This Row],[PERCENTUAL]]</f>
        <v>1425</v>
      </c>
      <c r="L182" s="1" t="s">
        <v>19</v>
      </c>
      <c r="M182" s="1"/>
      <c r="N182" s="1"/>
    </row>
    <row r="183" spans="1:14" x14ac:dyDescent="0.3">
      <c r="A183" s="1" t="s">
        <v>609</v>
      </c>
      <c r="B183" s="3" t="str" cm="1">
        <f t="array" ref="B183">_xlfn.XLOOKUP(tbMedições[[#This Row],[EMPRESA]]&amp;tbMedições[[#This Row],[OBRA]],tbContratos[EMPRESA]&amp;tbContratos[OBRA],tbContratos[CONTRATO_ID],"Não localizado")</f>
        <v>CT048</v>
      </c>
      <c r="C183" s="1" t="s">
        <v>94</v>
      </c>
      <c r="D183" s="1" t="s">
        <v>57</v>
      </c>
      <c r="E183" s="2" t="s">
        <v>579</v>
      </c>
      <c r="F183" s="2">
        <v>0.1</v>
      </c>
      <c r="G183" s="3"/>
      <c r="H183" s="4">
        <v>46157</v>
      </c>
      <c r="I18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46157</v>
      </c>
      <c r="J183" s="4" t="str">
        <f>TEXT(tbMedições[[#This Row],[DATA REFERÊNCIA]],"aa/mm")</f>
        <v>26/05</v>
      </c>
      <c r="K183" s="12">
        <f>_xlfn.XLOOKUP(tbMedições[[#This Row],[CONTRATO_ID]],tbContratos[CONTRATO_ID],tbContratos[VALOR CONTRATO],"Não encontrado")*tbMedições[[#This Row],[PERCENTUAL]]</f>
        <v>1425</v>
      </c>
      <c r="L183" s="1" t="s">
        <v>19</v>
      </c>
      <c r="M183" s="1"/>
      <c r="N183" s="1"/>
    </row>
    <row r="184" spans="1:14" x14ac:dyDescent="0.3">
      <c r="A184" s="1" t="s">
        <v>610</v>
      </c>
      <c r="B184" s="3" t="str" cm="1">
        <f t="array" ref="B184">_xlfn.XLOOKUP(tbMedições[[#This Row],[EMPRESA]]&amp;tbMedições[[#This Row],[OBRA]],tbContratos[EMPRESA]&amp;tbContratos[OBRA],tbContratos[CONTRATO_ID],"Não localizado")</f>
        <v>CT048</v>
      </c>
      <c r="C184" s="1" t="s">
        <v>94</v>
      </c>
      <c r="D184" s="1" t="s">
        <v>57</v>
      </c>
      <c r="E184" s="2" t="s">
        <v>580</v>
      </c>
      <c r="F184" s="2">
        <v>0.1</v>
      </c>
      <c r="G184" s="3"/>
      <c r="H184" s="4">
        <v>46185</v>
      </c>
      <c r="I18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84" s="4" t="str">
        <f>TEXT(tbMedições[[#This Row],[DATA REFERÊNCIA]],"aa/mm")</f>
        <v>26/06</v>
      </c>
      <c r="K184" s="12">
        <f>_xlfn.XLOOKUP(tbMedições[[#This Row],[CONTRATO_ID]],tbContratos[CONTRATO_ID],tbContratos[VALOR CONTRATO],"Não encontrado")*tbMedições[[#This Row],[PERCENTUAL]]</f>
        <v>1425</v>
      </c>
      <c r="L184" s="1" t="s">
        <v>19</v>
      </c>
      <c r="M184" s="1"/>
      <c r="N184" s="1"/>
    </row>
    <row r="185" spans="1:14" x14ac:dyDescent="0.3">
      <c r="A185" s="1" t="s">
        <v>611</v>
      </c>
      <c r="B185" s="3" t="str" cm="1">
        <f t="array" ref="B185">_xlfn.XLOOKUP(tbMedições[[#This Row],[EMPRESA]]&amp;tbMedições[[#This Row],[OBRA]],tbContratos[EMPRESA]&amp;tbContratos[OBRA],tbContratos[CONTRATO_ID],"Não localizado")</f>
        <v>CT048</v>
      </c>
      <c r="C185" s="1" t="s">
        <v>94</v>
      </c>
      <c r="D185" s="1" t="s">
        <v>57</v>
      </c>
      <c r="E185" s="2" t="s">
        <v>581</v>
      </c>
      <c r="F185" s="2">
        <v>0.1</v>
      </c>
      <c r="G185" s="3"/>
      <c r="H185" s="4">
        <v>46227</v>
      </c>
      <c r="I18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46227</v>
      </c>
      <c r="J185" s="4" t="str">
        <f>TEXT(tbMedições[[#This Row],[DATA REFERÊNCIA]],"aa/mm")</f>
        <v>26/07</v>
      </c>
      <c r="K185" s="12">
        <f>_xlfn.XLOOKUP(tbMedições[[#This Row],[CONTRATO_ID]],tbContratos[CONTRATO_ID],tbContratos[VALOR CONTRATO],"Não encontrado")*tbMedições[[#This Row],[PERCENTUAL]]</f>
        <v>1425</v>
      </c>
      <c r="L185" s="1" t="s">
        <v>19</v>
      </c>
      <c r="M185" s="1"/>
      <c r="N185" s="1"/>
    </row>
    <row r="186" spans="1:14" x14ac:dyDescent="0.3">
      <c r="A186" s="1" t="s">
        <v>612</v>
      </c>
      <c r="B186" s="3" t="str" cm="1">
        <f t="array" ref="B186">_xlfn.XLOOKUP(tbMedições[[#This Row],[EMPRESA]]&amp;tbMedições[[#This Row],[OBRA]],tbContratos[EMPRESA]&amp;tbContratos[OBRA],tbContratos[CONTRATO_ID],"Não localizado")</f>
        <v>CT048</v>
      </c>
      <c r="C186" s="1" t="s">
        <v>94</v>
      </c>
      <c r="D186" s="1" t="s">
        <v>57</v>
      </c>
      <c r="E186" s="2" t="s">
        <v>582</v>
      </c>
      <c r="F186" s="2">
        <v>0.1</v>
      </c>
      <c r="G186" s="4">
        <v>46258</v>
      </c>
      <c r="H186" s="1"/>
      <c r="I18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46258</v>
      </c>
      <c r="J186" s="4" t="str">
        <f>TEXT(tbMedições[[#This Row],[DATA REFERÊNCIA]],"aa/mm")</f>
        <v>26/08</v>
      </c>
      <c r="K186" s="12">
        <f>_xlfn.XLOOKUP(tbMedições[[#This Row],[CONTRATO_ID]],tbContratos[CONTRATO_ID],tbContratos[VALOR CONTRATO],"Não encontrado")*tbMedições[[#This Row],[PERCENTUAL]]</f>
        <v>1425</v>
      </c>
      <c r="L186" s="1" t="s">
        <v>393</v>
      </c>
      <c r="M186" s="1"/>
      <c r="N186" s="1"/>
    </row>
    <row r="187" spans="1:14" x14ac:dyDescent="0.3">
      <c r="A187" s="1" t="s">
        <v>613</v>
      </c>
      <c r="B187" s="3" t="str" cm="1">
        <f t="array" ref="B187">_xlfn.XLOOKUP(tbMedições[[#This Row],[EMPRESA]]&amp;tbMedições[[#This Row],[OBRA]],tbContratos[EMPRESA]&amp;tbContratos[OBRA],tbContratos[CONTRATO_ID],"Não localizado")</f>
        <v>CT048</v>
      </c>
      <c r="C187" s="1" t="s">
        <v>94</v>
      </c>
      <c r="D187" s="1" t="s">
        <v>57</v>
      </c>
      <c r="E187" s="2" t="s">
        <v>583</v>
      </c>
      <c r="F187" s="2">
        <v>0.1</v>
      </c>
      <c r="G187" s="4">
        <v>46289</v>
      </c>
      <c r="H187" s="1"/>
      <c r="I18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46289</v>
      </c>
      <c r="J187" s="4" t="str">
        <f>TEXT(tbMedições[[#This Row],[DATA REFERÊNCIA]],"aa/mm")</f>
        <v>26/09</v>
      </c>
      <c r="K187" s="12">
        <f>_xlfn.XLOOKUP(tbMedições[[#This Row],[CONTRATO_ID]],tbContratos[CONTRATO_ID],tbContratos[VALOR CONTRATO],"Não encontrado")*tbMedições[[#This Row],[PERCENTUAL]]</f>
        <v>1425</v>
      </c>
      <c r="L187" s="1" t="s">
        <v>392</v>
      </c>
      <c r="M187" s="1"/>
      <c r="N187" s="1"/>
    </row>
    <row r="188" spans="1:14" x14ac:dyDescent="0.3">
      <c r="A188" s="1" t="s">
        <v>614</v>
      </c>
      <c r="B188" s="3" t="str" cm="1">
        <f t="array" ref="B188">_xlfn.XLOOKUP(tbMedições[[#This Row],[EMPRESA]]&amp;tbMedições[[#This Row],[OBRA]],tbContratos[EMPRESA]&amp;tbContratos[OBRA],tbContratos[CONTRATO_ID],"Não localizado")</f>
        <v>CT048</v>
      </c>
      <c r="C188" s="1" t="s">
        <v>94</v>
      </c>
      <c r="D188" s="1" t="s">
        <v>57</v>
      </c>
      <c r="E188" s="2" t="s">
        <v>584</v>
      </c>
      <c r="F188" s="2">
        <v>0.1</v>
      </c>
      <c r="G188" s="4">
        <v>46319</v>
      </c>
      <c r="H188" s="1"/>
      <c r="I18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46319</v>
      </c>
      <c r="J188" s="4" t="str">
        <f>TEXT(tbMedições[[#This Row],[DATA REFERÊNCIA]],"aa/mm")</f>
        <v>26/10</v>
      </c>
      <c r="K188" s="12">
        <f>_xlfn.XLOOKUP(tbMedições[[#This Row],[CONTRATO_ID]],tbContratos[CONTRATO_ID],tbContratos[VALOR CONTRATO],"Não encontrado")*tbMedições[[#This Row],[PERCENTUAL]]</f>
        <v>1425</v>
      </c>
      <c r="L188" s="1" t="s">
        <v>392</v>
      </c>
      <c r="M188" s="1"/>
      <c r="N188" s="1"/>
    </row>
    <row r="189" spans="1:14" x14ac:dyDescent="0.3">
      <c r="A189" s="1" t="s">
        <v>615</v>
      </c>
      <c r="B189" s="3" t="str" cm="1">
        <f t="array" ref="B189">_xlfn.XLOOKUP(tbMedições[[#This Row],[EMPRESA]]&amp;tbMedições[[#This Row],[OBRA]],tbContratos[EMPRESA]&amp;tbContratos[OBRA],tbContratos[CONTRATO_ID],"Não localizado")</f>
        <v>CT048</v>
      </c>
      <c r="C189" s="1" t="s">
        <v>94</v>
      </c>
      <c r="D189" s="1" t="s">
        <v>57</v>
      </c>
      <c r="E189" s="2" t="s">
        <v>585</v>
      </c>
      <c r="F189" s="2">
        <v>0.1</v>
      </c>
      <c r="G189" s="4">
        <v>46350</v>
      </c>
      <c r="H189" s="1"/>
      <c r="I18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46350</v>
      </c>
      <c r="J189" s="4" t="str">
        <f>TEXT(tbMedições[[#This Row],[DATA REFERÊNCIA]],"aa/mm")</f>
        <v>26/11</v>
      </c>
      <c r="K189" s="12">
        <f>_xlfn.XLOOKUP(tbMedições[[#This Row],[CONTRATO_ID]],tbContratos[CONTRATO_ID],tbContratos[VALOR CONTRATO],"Não encontrado")*tbMedições[[#This Row],[PERCENTUAL]]</f>
        <v>1425</v>
      </c>
      <c r="L189" s="1" t="s">
        <v>392</v>
      </c>
      <c r="M189" s="1"/>
      <c r="N189" s="1"/>
    </row>
    <row r="190" spans="1:14" x14ac:dyDescent="0.3">
      <c r="A190" s="1" t="s">
        <v>616</v>
      </c>
      <c r="B190" s="3" t="str" cm="1">
        <f t="array" ref="B190">_xlfn.XLOOKUP(tbMedições[[#This Row],[EMPRESA]]&amp;tbMedições[[#This Row],[OBRA]],tbContratos[EMPRESA]&amp;tbContratos[OBRA],tbContratos[CONTRATO_ID],"Não localizado")</f>
        <v>CT048</v>
      </c>
      <c r="C190" s="1" t="s">
        <v>94</v>
      </c>
      <c r="D190" s="1" t="s">
        <v>57</v>
      </c>
      <c r="E190" s="2" t="s">
        <v>586</v>
      </c>
      <c r="F190" s="2">
        <v>0.1</v>
      </c>
      <c r="G190" s="4">
        <v>46380</v>
      </c>
      <c r="H190" s="1"/>
      <c r="I19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46380</v>
      </c>
      <c r="J190" s="4" t="str">
        <f>TEXT(tbMedições[[#This Row],[DATA REFERÊNCIA]],"aa/mm")</f>
        <v>26/12</v>
      </c>
      <c r="K190" s="12">
        <f>_xlfn.XLOOKUP(tbMedições[[#This Row],[CONTRATO_ID]],tbContratos[CONTRATO_ID],tbContratos[VALOR CONTRATO],"Não encontrado")*tbMedições[[#This Row],[PERCENTUAL]]</f>
        <v>1425</v>
      </c>
      <c r="L190" s="1" t="s">
        <v>392</v>
      </c>
      <c r="M190" s="1"/>
      <c r="N190" s="1"/>
    </row>
    <row r="191" spans="1:14" x14ac:dyDescent="0.3">
      <c r="A191" s="1" t="s">
        <v>617</v>
      </c>
      <c r="B191" s="3" t="str" cm="1">
        <f t="array" ref="B191">_xlfn.XLOOKUP(tbMedições[[#This Row],[EMPRESA]]&amp;tbMedições[[#This Row],[OBRA]],tbContratos[EMPRESA]&amp;tbContratos[OBRA],tbContratos[CONTRATO_ID],"Não localizado")</f>
        <v>CT049</v>
      </c>
      <c r="C191" s="1" t="s">
        <v>94</v>
      </c>
      <c r="D191" s="1" t="s">
        <v>59</v>
      </c>
      <c r="E191" s="2" t="s">
        <v>577</v>
      </c>
      <c r="F191" s="2">
        <v>0.1</v>
      </c>
      <c r="G191" s="3"/>
      <c r="H191" s="4">
        <v>46101</v>
      </c>
      <c r="I19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46101</v>
      </c>
      <c r="J191" s="4" t="str">
        <f>TEXT(tbMedições[[#This Row],[DATA REFERÊNCIA]],"aa/mm")</f>
        <v>26/03</v>
      </c>
      <c r="K191" s="12">
        <f>_xlfn.XLOOKUP(tbMedições[[#This Row],[CONTRATO_ID]],tbContratos[CONTRATO_ID],tbContratos[VALOR CONTRATO],"Não encontrado")*tbMedições[[#This Row],[PERCENTUAL]]</f>
        <v>1425</v>
      </c>
      <c r="L191" s="1" t="s">
        <v>19</v>
      </c>
      <c r="M191" s="1"/>
      <c r="N191" s="1"/>
    </row>
    <row r="192" spans="1:14" x14ac:dyDescent="0.3">
      <c r="A192" s="1" t="s">
        <v>618</v>
      </c>
      <c r="B192" s="3" t="str" cm="1">
        <f t="array" ref="B192">_xlfn.XLOOKUP(tbMedições[[#This Row],[EMPRESA]]&amp;tbMedições[[#This Row],[OBRA]],tbContratos[EMPRESA]&amp;tbContratos[OBRA],tbContratos[CONTRATO_ID],"Não localizado")</f>
        <v>CT049</v>
      </c>
      <c r="C192" s="1" t="s">
        <v>94</v>
      </c>
      <c r="D192" s="1" t="s">
        <v>59</v>
      </c>
      <c r="E192" s="2" t="s">
        <v>578</v>
      </c>
      <c r="F192" s="2">
        <v>0.1</v>
      </c>
      <c r="G192" s="3"/>
      <c r="H192" s="4">
        <v>46140</v>
      </c>
      <c r="I19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46140</v>
      </c>
      <c r="J192" s="4" t="str">
        <f>TEXT(tbMedições[[#This Row],[DATA REFERÊNCIA]],"aa/mm")</f>
        <v>26/04</v>
      </c>
      <c r="K192" s="12">
        <f>_xlfn.XLOOKUP(tbMedições[[#This Row],[CONTRATO_ID]],tbContratos[CONTRATO_ID],tbContratos[VALOR CONTRATO],"Não encontrado")*tbMedições[[#This Row],[PERCENTUAL]]</f>
        <v>1425</v>
      </c>
      <c r="L192" s="1" t="s">
        <v>19</v>
      </c>
      <c r="M192" s="1"/>
      <c r="N192" s="1"/>
    </row>
    <row r="193" spans="1:14" x14ac:dyDescent="0.3">
      <c r="A193" s="1" t="s">
        <v>619</v>
      </c>
      <c r="B193" s="3" t="str" cm="1">
        <f t="array" ref="B193">_xlfn.XLOOKUP(tbMedições[[#This Row],[EMPRESA]]&amp;tbMedições[[#This Row],[OBRA]],tbContratos[EMPRESA]&amp;tbContratos[OBRA],tbContratos[CONTRATO_ID],"Não localizado")</f>
        <v>CT049</v>
      </c>
      <c r="C193" s="1" t="s">
        <v>94</v>
      </c>
      <c r="D193" s="1" t="s">
        <v>59</v>
      </c>
      <c r="E193" s="2" t="s">
        <v>579</v>
      </c>
      <c r="F193" s="2">
        <v>0.1</v>
      </c>
      <c r="G193" s="3"/>
      <c r="H193" s="4">
        <v>46157</v>
      </c>
      <c r="I19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46157</v>
      </c>
      <c r="J193" s="4" t="str">
        <f>TEXT(tbMedições[[#This Row],[DATA REFERÊNCIA]],"aa/mm")</f>
        <v>26/05</v>
      </c>
      <c r="K193" s="12">
        <f>_xlfn.XLOOKUP(tbMedições[[#This Row],[CONTRATO_ID]],tbContratos[CONTRATO_ID],tbContratos[VALOR CONTRATO],"Não encontrado")*tbMedições[[#This Row],[PERCENTUAL]]</f>
        <v>1425</v>
      </c>
      <c r="L193" s="1" t="s">
        <v>19</v>
      </c>
      <c r="M193" s="1"/>
      <c r="N193" s="1"/>
    </row>
    <row r="194" spans="1:14" x14ac:dyDescent="0.3">
      <c r="A194" s="1" t="s">
        <v>620</v>
      </c>
      <c r="B194" s="3" t="str" cm="1">
        <f t="array" ref="B194">_xlfn.XLOOKUP(tbMedições[[#This Row],[EMPRESA]]&amp;tbMedições[[#This Row],[OBRA]],tbContratos[EMPRESA]&amp;tbContratos[OBRA],tbContratos[CONTRATO_ID],"Não localizado")</f>
        <v>CT049</v>
      </c>
      <c r="C194" s="1" t="s">
        <v>94</v>
      </c>
      <c r="D194" s="1" t="s">
        <v>59</v>
      </c>
      <c r="E194" s="2" t="s">
        <v>580</v>
      </c>
      <c r="F194" s="2">
        <v>0.1</v>
      </c>
      <c r="G194" s="3"/>
      <c r="H194" s="4">
        <v>46185</v>
      </c>
      <c r="I19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46185</v>
      </c>
      <c r="J194" s="4" t="str">
        <f>TEXT(tbMedições[[#This Row],[DATA REFERÊNCIA]],"aa/mm")</f>
        <v>26/06</v>
      </c>
      <c r="K194" s="12">
        <f>_xlfn.XLOOKUP(tbMedições[[#This Row],[CONTRATO_ID]],tbContratos[CONTRATO_ID],tbContratos[VALOR CONTRATO],"Não encontrado")*tbMedições[[#This Row],[PERCENTUAL]]</f>
        <v>1425</v>
      </c>
      <c r="L194" s="1" t="s">
        <v>19</v>
      </c>
      <c r="M194" s="1"/>
      <c r="N194" s="1"/>
    </row>
    <row r="195" spans="1:14" x14ac:dyDescent="0.3">
      <c r="A195" s="1" t="s">
        <v>621</v>
      </c>
      <c r="B195" s="3" t="str" cm="1">
        <f t="array" ref="B195">_xlfn.XLOOKUP(tbMedições[[#This Row],[EMPRESA]]&amp;tbMedições[[#This Row],[OBRA]],tbContratos[EMPRESA]&amp;tbContratos[OBRA],tbContratos[CONTRATO_ID],"Não localizado")</f>
        <v>CT049</v>
      </c>
      <c r="C195" s="1" t="s">
        <v>94</v>
      </c>
      <c r="D195" s="1" t="s">
        <v>59</v>
      </c>
      <c r="E195" s="2" t="s">
        <v>581</v>
      </c>
      <c r="F195" s="2">
        <v>0.1</v>
      </c>
      <c r="G195" s="3"/>
      <c r="H195" s="4">
        <v>46227</v>
      </c>
      <c r="I19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46227</v>
      </c>
      <c r="J195" s="4" t="str">
        <f>TEXT(tbMedições[[#This Row],[DATA REFERÊNCIA]],"aa/mm")</f>
        <v>26/07</v>
      </c>
      <c r="K195" s="12">
        <f>_xlfn.XLOOKUP(tbMedições[[#This Row],[CONTRATO_ID]],tbContratos[CONTRATO_ID],tbContratos[VALOR CONTRATO],"Não encontrado")*tbMedições[[#This Row],[PERCENTUAL]]</f>
        <v>1425</v>
      </c>
      <c r="L195" s="1" t="s">
        <v>19</v>
      </c>
      <c r="M195" s="1"/>
      <c r="N195" s="1"/>
    </row>
    <row r="196" spans="1:14" x14ac:dyDescent="0.3">
      <c r="A196" s="1" t="s">
        <v>622</v>
      </c>
      <c r="B196" s="3" t="str" cm="1">
        <f t="array" ref="B196">_xlfn.XLOOKUP(tbMedições[[#This Row],[EMPRESA]]&amp;tbMedições[[#This Row],[OBRA]],tbContratos[EMPRESA]&amp;tbContratos[OBRA],tbContratos[CONTRATO_ID],"Não localizado")</f>
        <v>CT049</v>
      </c>
      <c r="C196" s="1" t="s">
        <v>94</v>
      </c>
      <c r="D196" s="1" t="s">
        <v>59</v>
      </c>
      <c r="E196" s="2" t="s">
        <v>582</v>
      </c>
      <c r="F196" s="2">
        <v>0.1</v>
      </c>
      <c r="G196" s="4">
        <v>46258</v>
      </c>
      <c r="H196" s="1"/>
      <c r="I19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46258</v>
      </c>
      <c r="J196" s="4" t="str">
        <f>TEXT(tbMedições[[#This Row],[DATA REFERÊNCIA]],"aa/mm")</f>
        <v>26/08</v>
      </c>
      <c r="K196" s="12">
        <f>_xlfn.XLOOKUP(tbMedições[[#This Row],[CONTRATO_ID]],tbContratos[CONTRATO_ID],tbContratos[VALOR CONTRATO],"Não encontrado")*tbMedições[[#This Row],[PERCENTUAL]]</f>
        <v>1425</v>
      </c>
      <c r="L196" s="1" t="s">
        <v>393</v>
      </c>
      <c r="M196" s="1"/>
      <c r="N196" s="1"/>
    </row>
    <row r="197" spans="1:14" x14ac:dyDescent="0.3">
      <c r="A197" s="1" t="s">
        <v>623</v>
      </c>
      <c r="B197" s="3" t="str" cm="1">
        <f t="array" ref="B197">_xlfn.XLOOKUP(tbMedições[[#This Row],[EMPRESA]]&amp;tbMedições[[#This Row],[OBRA]],tbContratos[EMPRESA]&amp;tbContratos[OBRA],tbContratos[CONTRATO_ID],"Não localizado")</f>
        <v>CT049</v>
      </c>
      <c r="C197" s="1" t="s">
        <v>94</v>
      </c>
      <c r="D197" s="1" t="s">
        <v>59</v>
      </c>
      <c r="E197" s="2" t="s">
        <v>583</v>
      </c>
      <c r="F197" s="2">
        <v>0.1</v>
      </c>
      <c r="G197" s="4">
        <v>46289</v>
      </c>
      <c r="H197" s="1"/>
      <c r="I19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46289</v>
      </c>
      <c r="J197" s="4" t="str">
        <f>TEXT(tbMedições[[#This Row],[DATA REFERÊNCIA]],"aa/mm")</f>
        <v>26/09</v>
      </c>
      <c r="K197" s="12">
        <f>_xlfn.XLOOKUP(tbMedições[[#This Row],[CONTRATO_ID]],tbContratos[CONTRATO_ID],tbContratos[VALOR CONTRATO],"Não encontrado")*tbMedições[[#This Row],[PERCENTUAL]]</f>
        <v>1425</v>
      </c>
      <c r="L197" s="1" t="s">
        <v>392</v>
      </c>
      <c r="M197" s="1"/>
      <c r="N197" s="1"/>
    </row>
    <row r="198" spans="1:14" x14ac:dyDescent="0.3">
      <c r="A198" s="1" t="s">
        <v>624</v>
      </c>
      <c r="B198" s="3" t="str" cm="1">
        <f t="array" ref="B198">_xlfn.XLOOKUP(tbMedições[[#This Row],[EMPRESA]]&amp;tbMedições[[#This Row],[OBRA]],tbContratos[EMPRESA]&amp;tbContratos[OBRA],tbContratos[CONTRATO_ID],"Não localizado")</f>
        <v>CT049</v>
      </c>
      <c r="C198" s="1" t="s">
        <v>94</v>
      </c>
      <c r="D198" s="1" t="s">
        <v>59</v>
      </c>
      <c r="E198" s="2" t="s">
        <v>584</v>
      </c>
      <c r="F198" s="2">
        <v>0.1</v>
      </c>
      <c r="G198" s="4">
        <v>46319</v>
      </c>
      <c r="H198" s="1"/>
      <c r="I19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46319</v>
      </c>
      <c r="J198" s="4" t="str">
        <f>TEXT(tbMedições[[#This Row],[DATA REFERÊNCIA]],"aa/mm")</f>
        <v>26/10</v>
      </c>
      <c r="K198" s="12">
        <f>_xlfn.XLOOKUP(tbMedições[[#This Row],[CONTRATO_ID]],tbContratos[CONTRATO_ID],tbContratos[VALOR CONTRATO],"Não encontrado")*tbMedições[[#This Row],[PERCENTUAL]]</f>
        <v>1425</v>
      </c>
      <c r="L198" s="1" t="s">
        <v>392</v>
      </c>
      <c r="M198" s="1"/>
      <c r="N198" s="1"/>
    </row>
    <row r="199" spans="1:14" x14ac:dyDescent="0.3">
      <c r="A199" s="1" t="s">
        <v>625</v>
      </c>
      <c r="B199" s="3" t="str" cm="1">
        <f t="array" ref="B199">_xlfn.XLOOKUP(tbMedições[[#This Row],[EMPRESA]]&amp;tbMedições[[#This Row],[OBRA]],tbContratos[EMPRESA]&amp;tbContratos[OBRA],tbContratos[CONTRATO_ID],"Não localizado")</f>
        <v>CT049</v>
      </c>
      <c r="C199" s="1" t="s">
        <v>94</v>
      </c>
      <c r="D199" s="1" t="s">
        <v>59</v>
      </c>
      <c r="E199" s="2" t="s">
        <v>585</v>
      </c>
      <c r="F199" s="2">
        <v>0.1</v>
      </c>
      <c r="G199" s="4">
        <v>46350</v>
      </c>
      <c r="H199" s="1"/>
      <c r="I19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46350</v>
      </c>
      <c r="J199" s="4" t="str">
        <f>TEXT(tbMedições[[#This Row],[DATA REFERÊNCIA]],"aa/mm")</f>
        <v>26/11</v>
      </c>
      <c r="K199" s="12">
        <f>_xlfn.XLOOKUP(tbMedições[[#This Row],[CONTRATO_ID]],tbContratos[CONTRATO_ID],tbContratos[VALOR CONTRATO],"Não encontrado")*tbMedições[[#This Row],[PERCENTUAL]]</f>
        <v>1425</v>
      </c>
      <c r="L199" s="1" t="s">
        <v>392</v>
      </c>
      <c r="M199" s="1"/>
      <c r="N199" s="1"/>
    </row>
    <row r="200" spans="1:14" x14ac:dyDescent="0.3">
      <c r="A200" s="1" t="s">
        <v>626</v>
      </c>
      <c r="B200" s="3" t="str" cm="1">
        <f t="array" ref="B200">_xlfn.XLOOKUP(tbMedições[[#This Row],[EMPRESA]]&amp;tbMedições[[#This Row],[OBRA]],tbContratos[EMPRESA]&amp;tbContratos[OBRA],tbContratos[CONTRATO_ID],"Não localizado")</f>
        <v>CT049</v>
      </c>
      <c r="C200" s="1" t="s">
        <v>94</v>
      </c>
      <c r="D200" s="1" t="s">
        <v>59</v>
      </c>
      <c r="E200" s="2" t="s">
        <v>586</v>
      </c>
      <c r="F200" s="2">
        <v>0.1</v>
      </c>
      <c r="G200" s="4">
        <v>46380</v>
      </c>
      <c r="H200" s="1"/>
      <c r="I20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46380</v>
      </c>
      <c r="J200" s="4" t="str">
        <f>TEXT(tbMedições[[#This Row],[DATA REFERÊNCIA]],"aa/mm")</f>
        <v>26/12</v>
      </c>
      <c r="K200" s="12">
        <f>_xlfn.XLOOKUP(tbMedições[[#This Row],[CONTRATO_ID]],tbContratos[CONTRATO_ID],tbContratos[VALOR CONTRATO],"Não encontrado")*tbMedições[[#This Row],[PERCENTUAL]]</f>
        <v>1425</v>
      </c>
      <c r="L200" s="1" t="s">
        <v>392</v>
      </c>
      <c r="M200" s="1"/>
      <c r="N200" s="1"/>
    </row>
    <row r="201" spans="1:14" x14ac:dyDescent="0.3">
      <c r="A201" s="1" t="s">
        <v>627</v>
      </c>
      <c r="B201" s="3" t="str" cm="1">
        <f t="array" ref="B201">_xlfn.XLOOKUP(tbMedições[[#This Row],[EMPRESA]]&amp;tbMedições[[#This Row],[OBRA]],tbContratos[EMPRESA]&amp;tbContratos[OBRA],tbContratos[CONTRATO_ID],"Não localizado")</f>
        <v>CT051</v>
      </c>
      <c r="C201" s="1" t="s">
        <v>100</v>
      </c>
      <c r="D201" s="1" t="s">
        <v>47</v>
      </c>
      <c r="E201" s="2" t="s">
        <v>26</v>
      </c>
      <c r="F201" s="2">
        <v>1</v>
      </c>
      <c r="G201" s="3"/>
      <c r="H201" s="4">
        <v>46108</v>
      </c>
      <c r="I20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46108</v>
      </c>
      <c r="J201" s="4" t="str">
        <f>TEXT(tbMedições[[#This Row],[DATA REFERÊNCIA]],"aa/mm")</f>
        <v>26/03</v>
      </c>
      <c r="K201" s="12">
        <f>_xlfn.XLOOKUP(tbMedições[[#This Row],[CONTRATO_ID]],tbContratos[CONTRATO_ID],tbContratos[VALOR CONTRATO],"Não encontrado")*tbMedições[[#This Row],[PERCENTUAL]]</f>
        <v>600</v>
      </c>
      <c r="L201" s="1" t="s">
        <v>19</v>
      </c>
      <c r="M201" s="1"/>
      <c r="N201" s="1"/>
    </row>
    <row r="202" spans="1:14" x14ac:dyDescent="0.3">
      <c r="A202" s="1" t="s">
        <v>628</v>
      </c>
      <c r="B202" s="3" t="str" cm="1">
        <f t="array" ref="B202">_xlfn.XLOOKUP(tbMedições[[#This Row],[EMPRESA]]&amp;tbMedições[[#This Row],[OBRA]],tbContratos[EMPRESA]&amp;tbContratos[OBRA],tbContratos[CONTRATO_ID],"Não localizado")</f>
        <v>CT052</v>
      </c>
      <c r="C202" s="1" t="s">
        <v>100</v>
      </c>
      <c r="D202" s="1" t="s">
        <v>56</v>
      </c>
      <c r="E202" s="2" t="s">
        <v>26</v>
      </c>
      <c r="F202" s="2">
        <v>1</v>
      </c>
      <c r="G202" s="4">
        <v>46251</v>
      </c>
      <c r="H202" s="1"/>
      <c r="I20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46251</v>
      </c>
      <c r="J202" s="4" t="str">
        <f>TEXT(tbMedições[[#This Row],[DATA REFERÊNCIA]],"aa/mm")</f>
        <v>26/08</v>
      </c>
      <c r="K202" s="12">
        <f>_xlfn.XLOOKUP(tbMedições[[#This Row],[CONTRATO_ID]],tbContratos[CONTRATO_ID],tbContratos[VALOR CONTRATO],"Não encontrado")*tbMedições[[#This Row],[PERCENTUAL]]</f>
        <v>600</v>
      </c>
      <c r="L202" s="1" t="s">
        <v>393</v>
      </c>
      <c r="M202" s="1"/>
      <c r="N202" s="1"/>
    </row>
    <row r="203" spans="1:14" x14ac:dyDescent="0.3">
      <c r="A203" s="1" t="s">
        <v>629</v>
      </c>
      <c r="B203" s="3" t="str" cm="1">
        <f t="array" ref="B203">_xlfn.XLOOKUP(tbMedições[[#This Row],[EMPRESA]]&amp;tbMedições[[#This Row],[OBRA]],tbContratos[EMPRESA]&amp;tbContratos[OBRA],tbContratos[CONTRATO_ID],"Não localizado")</f>
        <v>CT053</v>
      </c>
      <c r="C203" s="1" t="s">
        <v>100</v>
      </c>
      <c r="D203" s="1" t="s">
        <v>57</v>
      </c>
      <c r="E203" s="2" t="s">
        <v>26</v>
      </c>
      <c r="F203" s="2">
        <v>1</v>
      </c>
      <c r="G203" s="4">
        <v>46315</v>
      </c>
      <c r="H203" s="1"/>
      <c r="I20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203" s="4" t="str">
        <f>TEXT(tbMedições[[#This Row],[DATA REFERÊNCIA]],"aa/mm")</f>
        <v>26/10</v>
      </c>
      <c r="K203" s="12">
        <f>_xlfn.XLOOKUP(tbMedições[[#This Row],[CONTRATO_ID]],tbContratos[CONTRATO_ID],tbContratos[VALOR CONTRATO],"Não encontrado")*tbMedições[[#This Row],[PERCENTUAL]]</f>
        <v>600</v>
      </c>
      <c r="L203" s="1" t="s">
        <v>392</v>
      </c>
      <c r="M203" s="1"/>
      <c r="N203" s="1"/>
    </row>
    <row r="204" spans="1:14" x14ac:dyDescent="0.3">
      <c r="A204" s="1" t="s">
        <v>630</v>
      </c>
      <c r="B204" s="3" t="str" cm="1">
        <f t="array" ref="B204">_xlfn.XLOOKUP(tbMedições[[#This Row],[EMPRESA]]&amp;tbMedições[[#This Row],[OBRA]],tbContratos[EMPRESA]&amp;tbContratos[OBRA],tbContratos[CONTRATO_ID],"Não localizado")</f>
        <v>CT054</v>
      </c>
      <c r="C204" s="1" t="s">
        <v>100</v>
      </c>
      <c r="D204" s="1" t="s">
        <v>58</v>
      </c>
      <c r="E204" s="2" t="s">
        <v>26</v>
      </c>
      <c r="F204" s="2">
        <v>1</v>
      </c>
      <c r="G204" s="3"/>
      <c r="H204" s="1"/>
      <c r="I20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1</v>
      </c>
      <c r="J204" s="4" t="str">
        <f>TEXT(tbMedições[[#This Row],[DATA REFERÊNCIA]],"aa/mm")</f>
        <v>00/01</v>
      </c>
      <c r="K204" s="12">
        <f>_xlfn.XLOOKUP(tbMedições[[#This Row],[CONTRATO_ID]],tbContratos[CONTRATO_ID],tbContratos[VALOR CONTRATO],"Não encontrado")*tbMedições[[#This Row],[PERCENTUAL]]</f>
        <v>600</v>
      </c>
      <c r="L204" s="1" t="s">
        <v>20</v>
      </c>
      <c r="M204" s="1"/>
      <c r="N204" s="1"/>
    </row>
    <row r="205" spans="1:14" x14ac:dyDescent="0.3">
      <c r="A205" s="1" t="s">
        <v>631</v>
      </c>
      <c r="B205" s="3" t="str" cm="1">
        <f t="array" ref="B205">_xlfn.XLOOKUP(tbMedições[[#This Row],[EMPRESA]]&amp;tbMedições[[#This Row],[OBRA]],tbContratos[EMPRESA]&amp;tbContratos[OBRA],tbContratos[CONTRATO_ID],"Não localizado")</f>
        <v>CT055</v>
      </c>
      <c r="C205" s="1" t="s">
        <v>100</v>
      </c>
      <c r="D205" s="1" t="s">
        <v>59</v>
      </c>
      <c r="E205" s="2" t="s">
        <v>26</v>
      </c>
      <c r="F205" s="2">
        <v>1</v>
      </c>
      <c r="G205" s="3"/>
      <c r="H205" s="4">
        <v>46204</v>
      </c>
      <c r="I20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46204</v>
      </c>
      <c r="J205" s="4" t="str">
        <f>TEXT(tbMedições[[#This Row],[DATA REFERÊNCIA]],"aa/mm")</f>
        <v>26/07</v>
      </c>
      <c r="K205" s="12">
        <f>_xlfn.XLOOKUP(tbMedições[[#This Row],[CONTRATO_ID]],tbContratos[CONTRATO_ID],tbContratos[VALOR CONTRATO],"Não encontrado")*tbMedições[[#This Row],[PERCENTUAL]]</f>
        <v>600</v>
      </c>
      <c r="L205" s="1" t="s">
        <v>19</v>
      </c>
      <c r="M205" s="1"/>
      <c r="N205" s="1"/>
    </row>
    <row r="206" spans="1:14" x14ac:dyDescent="0.3">
      <c r="A206" s="1" t="s">
        <v>635</v>
      </c>
      <c r="B206" s="3" t="str" cm="1">
        <f t="array" ref="B206">_xlfn.XLOOKUP(tbMedições[[#This Row],[EMPRESA]]&amp;tbMedições[[#This Row],[OBRA]],tbContratos[EMPRESA]&amp;tbContratos[OBRA],tbContratos[CONTRATO_ID],"Não localizado")</f>
        <v>CT056</v>
      </c>
      <c r="C206" s="1" t="s">
        <v>80</v>
      </c>
      <c r="D206" s="1" t="s">
        <v>55</v>
      </c>
      <c r="E206" s="2" t="s">
        <v>11</v>
      </c>
      <c r="F206" s="2">
        <v>0.47</v>
      </c>
      <c r="G206" s="4">
        <v>46254</v>
      </c>
      <c r="H206" s="1"/>
      <c r="I20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46254</v>
      </c>
      <c r="J206" s="4" t="str">
        <f>TEXT(tbMedições[[#This Row],[DATA REFERÊNCIA]],"aa/mm")</f>
        <v>26/08</v>
      </c>
      <c r="K206" s="12">
        <f>_xlfn.XLOOKUP(tbMedições[[#This Row],[CONTRATO_ID]],tbContratos[CONTRATO_ID],tbContratos[VALOR CONTRATO],"Não encontrado")*tbMedições[[#This Row],[PERCENTUAL]]</f>
        <v>25850</v>
      </c>
      <c r="L206" s="1" t="s">
        <v>393</v>
      </c>
      <c r="M206" s="1"/>
      <c r="N206" s="1"/>
    </row>
    <row r="207" spans="1:14" x14ac:dyDescent="0.3">
      <c r="A207" s="1" t="s">
        <v>636</v>
      </c>
      <c r="B207" s="3" t="str" cm="1">
        <f t="array" ref="B207">_xlfn.XLOOKUP(tbMedições[[#This Row],[EMPRESA]]&amp;tbMedições[[#This Row],[OBRA]],tbContratos[EMPRESA]&amp;tbContratos[OBRA],tbContratos[CONTRATO_ID],"Não localizado")</f>
        <v>CT056</v>
      </c>
      <c r="C207" s="1" t="s">
        <v>80</v>
      </c>
      <c r="D207" s="1" t="s">
        <v>55</v>
      </c>
      <c r="E207" s="2" t="s">
        <v>632</v>
      </c>
      <c r="F207" s="2">
        <v>0.38</v>
      </c>
      <c r="G207" s="4">
        <v>46285</v>
      </c>
      <c r="H207" s="1"/>
      <c r="I20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46285</v>
      </c>
      <c r="J207" s="4" t="str">
        <f>TEXT(tbMedições[[#This Row],[DATA REFERÊNCIA]],"aa/mm")</f>
        <v>26/09</v>
      </c>
      <c r="K207" s="12">
        <f>_xlfn.XLOOKUP(tbMedições[[#This Row],[CONTRATO_ID]],tbContratos[CONTRATO_ID],tbContratos[VALOR CONTRATO],"Não encontrado")*tbMedições[[#This Row],[PERCENTUAL]]</f>
        <v>20900</v>
      </c>
      <c r="L207" s="1" t="s">
        <v>392</v>
      </c>
      <c r="M207" s="1"/>
      <c r="N207" s="1"/>
    </row>
    <row r="208" spans="1:14" x14ac:dyDescent="0.3">
      <c r="A208" s="1" t="s">
        <v>637</v>
      </c>
      <c r="B208" s="3" t="str" cm="1">
        <f t="array" ref="B208">_xlfn.XLOOKUP(tbMedições[[#This Row],[EMPRESA]]&amp;tbMedições[[#This Row],[OBRA]],tbContratos[EMPRESA]&amp;tbContratos[OBRA],tbContratos[CONTRATO_ID],"Não localizado")</f>
        <v>CT056</v>
      </c>
      <c r="C208" s="1" t="s">
        <v>80</v>
      </c>
      <c r="D208" s="1" t="s">
        <v>55</v>
      </c>
      <c r="E208" s="2" t="s">
        <v>633</v>
      </c>
      <c r="F208" s="2">
        <v>0.15</v>
      </c>
      <c r="G208" s="4">
        <v>46315</v>
      </c>
      <c r="H208" s="1"/>
      <c r="I20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46315</v>
      </c>
      <c r="J208" s="4" t="str">
        <f>TEXT(tbMedições[[#This Row],[DATA REFERÊNCIA]],"aa/mm")</f>
        <v>26/10</v>
      </c>
      <c r="K208" s="12">
        <f>_xlfn.XLOOKUP(tbMedições[[#This Row],[CONTRATO_ID]],tbContratos[CONTRATO_ID],tbContratos[VALOR CONTRATO],"Não encontrado")*tbMedições[[#This Row],[PERCENTUAL]]</f>
        <v>8250</v>
      </c>
      <c r="L208" s="1" t="s">
        <v>392</v>
      </c>
      <c r="M208" s="1"/>
      <c r="N208" s="1"/>
    </row>
    <row r="209" spans="1:14" x14ac:dyDescent="0.3">
      <c r="A209" s="1" t="s">
        <v>638</v>
      </c>
      <c r="B209" s="3" t="str" cm="1">
        <f t="array" ref="B209">_xlfn.XLOOKUP(tbMedições[[#This Row],[EMPRESA]]&amp;tbMedições[[#This Row],[OBRA]],tbContratos[EMPRESA]&amp;tbContratos[OBRA],tbContratos[CONTRATO_ID],"Não localizado")</f>
        <v>CT057</v>
      </c>
      <c r="C209" s="1" t="s">
        <v>80</v>
      </c>
      <c r="D209" s="1" t="s">
        <v>59</v>
      </c>
      <c r="E209" s="2" t="s">
        <v>11</v>
      </c>
      <c r="F209" s="26">
        <v>0.51515151515151514</v>
      </c>
      <c r="G209" s="4">
        <v>46346</v>
      </c>
      <c r="H209" s="1"/>
      <c r="I20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46346</v>
      </c>
      <c r="J209" s="4" t="str">
        <f>TEXT(tbMedições[[#This Row],[DATA REFERÊNCIA]],"aa/mm")</f>
        <v>26/11</v>
      </c>
      <c r="K209" s="12">
        <f>_xlfn.XLOOKUP(tbMedições[[#This Row],[CONTRATO_ID]],tbContratos[CONTRATO_ID],tbContratos[VALOR CONTRATO],"Não encontrado")*tbMedições[[#This Row],[PERCENTUAL]]</f>
        <v>8500</v>
      </c>
      <c r="L209" s="1" t="s">
        <v>392</v>
      </c>
      <c r="M209" s="1"/>
      <c r="N209" s="1"/>
    </row>
    <row r="210" spans="1:14" x14ac:dyDescent="0.3">
      <c r="A210" s="1" t="s">
        <v>639</v>
      </c>
      <c r="B210" s="3" t="str" cm="1">
        <f t="array" ref="B210">_xlfn.XLOOKUP(tbMedições[[#This Row],[EMPRESA]]&amp;tbMedições[[#This Row],[OBRA]],tbContratos[EMPRESA]&amp;tbContratos[OBRA],tbContratos[CONTRATO_ID],"Não localizado")</f>
        <v>CT057</v>
      </c>
      <c r="C210" s="1" t="s">
        <v>80</v>
      </c>
      <c r="D210" s="1" t="s">
        <v>59</v>
      </c>
      <c r="E210" s="2" t="s">
        <v>634</v>
      </c>
      <c r="F210" s="26">
        <v>0.48484848484848486</v>
      </c>
      <c r="G210" s="4">
        <v>46407</v>
      </c>
      <c r="H210" s="1"/>
      <c r="I21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46407</v>
      </c>
      <c r="J210" s="4" t="str">
        <f>TEXT(tbMedições[[#This Row],[DATA REFERÊNCIA]],"aa/mm")</f>
        <v>27/01</v>
      </c>
      <c r="K210" s="12">
        <f>_xlfn.XLOOKUP(tbMedições[[#This Row],[CONTRATO_ID]],tbContratos[CONTRATO_ID],tbContratos[VALOR CONTRATO],"Não encontrado")*tbMedições[[#This Row],[PERCENTUAL]]</f>
        <v>8000</v>
      </c>
      <c r="L210" s="1" t="s">
        <v>392</v>
      </c>
      <c r="M210" s="1"/>
      <c r="N210" s="1"/>
    </row>
    <row r="211" spans="1:14" x14ac:dyDescent="0.3">
      <c r="A211" s="1" t="s">
        <v>648</v>
      </c>
      <c r="B211" s="3" t="str" cm="1">
        <f t="array" ref="B211">_xlfn.XLOOKUP(tbMedições[[#This Row],[EMPRESA]]&amp;tbMedições[[#This Row],[OBRA]],tbContratos[EMPRESA]&amp;tbContratos[OBRA],tbContratos[CONTRATO_ID],"Não localizado")</f>
        <v>CT061</v>
      </c>
      <c r="C211" s="1" t="s">
        <v>640</v>
      </c>
      <c r="D211" s="1" t="s">
        <v>59</v>
      </c>
      <c r="E211" s="2" t="s">
        <v>642</v>
      </c>
      <c r="F211" s="2">
        <f>68.17/_xlfn.XLOOKUP(tbMedições[[#This Row],[CONTRATO_ID]],tbContratos[CONTRATO_ID],tbContratos[VALOR CONTRATO],"Não encontrado")</f>
        <v>2.891818744856491E-4</v>
      </c>
      <c r="G211" s="3"/>
      <c r="H211" s="4">
        <v>46071</v>
      </c>
      <c r="I21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46071</v>
      </c>
      <c r="J211" s="4" t="str">
        <f>TEXT(tbMedições[[#This Row],[DATA REFERÊNCIA]],"aa/mm")</f>
        <v>26/02</v>
      </c>
      <c r="K211" s="12">
        <f>_xlfn.XLOOKUP(tbMedições[[#This Row],[CONTRATO_ID]],tbContratos[CONTRATO_ID],tbContratos[VALOR CONTRATO],"Não encontrado")*tbMedições[[#This Row],[PERCENTUAL]]</f>
        <v>68.17</v>
      </c>
      <c r="L211" s="1" t="s">
        <v>19</v>
      </c>
      <c r="M211" s="1"/>
      <c r="N211" s="1"/>
    </row>
    <row r="212" spans="1:14" x14ac:dyDescent="0.3">
      <c r="A212" s="1" t="s">
        <v>649</v>
      </c>
      <c r="B212" s="3" t="str" cm="1">
        <f t="array" ref="B212">_xlfn.XLOOKUP(tbMedições[[#This Row],[EMPRESA]]&amp;tbMedições[[#This Row],[OBRA]],tbContratos[EMPRESA]&amp;tbContratos[OBRA],tbContratos[CONTRATO_ID],"Não localizado")</f>
        <v>CT058</v>
      </c>
      <c r="C212" s="1" t="s">
        <v>640</v>
      </c>
      <c r="D212" s="1" t="s">
        <v>47</v>
      </c>
      <c r="E212" s="2" t="s">
        <v>643</v>
      </c>
      <c r="F212" s="2">
        <f>108.39/_xlfn.XLOOKUP(tbMedições[[#This Row],[CONTRATO_ID]],tbContratos[CONTRATO_ID],tbContratos[VALOR CONTRATO],"Não encontrado")</f>
        <v>2.1110696475746556E-4</v>
      </c>
      <c r="G212" s="3"/>
      <c r="H212" s="4">
        <v>46119</v>
      </c>
      <c r="I21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46119</v>
      </c>
      <c r="J212" s="4" t="str">
        <f>TEXT(tbMedições[[#This Row],[DATA REFERÊNCIA]],"aa/mm")</f>
        <v>26/04</v>
      </c>
      <c r="K212" s="12">
        <f>_xlfn.XLOOKUP(tbMedições[[#This Row],[CONTRATO_ID]],tbContratos[CONTRATO_ID],tbContratos[VALOR CONTRATO],"Não encontrado")*tbMedições[[#This Row],[PERCENTUAL]]</f>
        <v>108.39</v>
      </c>
      <c r="L212" s="1" t="s">
        <v>19</v>
      </c>
      <c r="M212" s="1"/>
      <c r="N212" s="1"/>
    </row>
    <row r="213" spans="1:14" x14ac:dyDescent="0.3">
      <c r="A213" s="1" t="s">
        <v>650</v>
      </c>
      <c r="B213" s="3" t="str" cm="1">
        <f t="array" ref="B213">_xlfn.XLOOKUP(tbMedições[[#This Row],[EMPRESA]]&amp;tbMedições[[#This Row],[OBRA]],tbContratos[EMPRESA]&amp;tbContratos[OBRA],tbContratos[CONTRATO_ID],"Não localizado")</f>
        <v>CT058</v>
      </c>
      <c r="C213" s="1" t="s">
        <v>640</v>
      </c>
      <c r="D213" s="1" t="s">
        <v>47</v>
      </c>
      <c r="E213" s="2" t="s">
        <v>644</v>
      </c>
      <c r="F213" s="2">
        <f>5843.25/_xlfn.XLOOKUP(tbMedições[[#This Row],[CONTRATO_ID]],tbContratos[CONTRATO_ID],tbContratos[VALOR CONTRATO],"Não encontrado")</f>
        <v>1.1380669543491657E-2</v>
      </c>
      <c r="G213" s="3"/>
      <c r="H213" s="4">
        <v>46129</v>
      </c>
      <c r="I21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46129</v>
      </c>
      <c r="J213" s="4" t="str">
        <f>TEXT(tbMedições[[#This Row],[DATA REFERÊNCIA]],"aa/mm")</f>
        <v>26/04</v>
      </c>
      <c r="K213" s="12">
        <f>_xlfn.XLOOKUP(tbMedições[[#This Row],[CONTRATO_ID]],tbContratos[CONTRATO_ID],tbContratos[VALOR CONTRATO],"Não encontrado")*tbMedições[[#This Row],[PERCENTUAL]]</f>
        <v>5843.25</v>
      </c>
      <c r="L213" s="1" t="s">
        <v>19</v>
      </c>
      <c r="M213" s="1"/>
      <c r="N213" s="1"/>
    </row>
    <row r="214" spans="1:14" x14ac:dyDescent="0.3">
      <c r="A214" s="1" t="s">
        <v>651</v>
      </c>
      <c r="B214" s="3" t="str" cm="1">
        <f t="array" ref="B214">_xlfn.XLOOKUP(tbMedições[[#This Row],[EMPRESA]]&amp;tbMedições[[#This Row],[OBRA]],tbContratos[EMPRESA]&amp;tbContratos[OBRA],tbContratos[CONTRATO_ID],"Não localizado")</f>
        <v>CT061</v>
      </c>
      <c r="C214" s="1" t="s">
        <v>640</v>
      </c>
      <c r="D214" s="1" t="s">
        <v>59</v>
      </c>
      <c r="E214" s="2" t="s">
        <v>643</v>
      </c>
      <c r="F214" s="2">
        <f>108.39/_xlfn.XLOOKUP(tbMedições[[#This Row],[CONTRATO_ID]],tbContratos[CONTRATO_ID],tbContratos[VALOR CONTRATO],"Não encontrado")</f>
        <v>4.5979790781134667E-4</v>
      </c>
      <c r="G214" s="3"/>
      <c r="H214" s="4">
        <v>46150</v>
      </c>
      <c r="I214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46150</v>
      </c>
      <c r="J214" s="4" t="str">
        <f>TEXT(tbMedições[[#This Row],[DATA REFERÊNCIA]],"aa/mm")</f>
        <v>26/05</v>
      </c>
      <c r="K214" s="12">
        <f>_xlfn.XLOOKUP(tbMedições[[#This Row],[CONTRATO_ID]],tbContratos[CONTRATO_ID],tbContratos[VALOR CONTRATO],"Não encontrado")*tbMedições[[#This Row],[PERCENTUAL]]</f>
        <v>108.39</v>
      </c>
      <c r="L214" s="1" t="s">
        <v>19</v>
      </c>
      <c r="M214" s="1"/>
      <c r="N214" s="1"/>
    </row>
    <row r="215" spans="1:14" x14ac:dyDescent="0.3">
      <c r="A215" s="1" t="s">
        <v>652</v>
      </c>
      <c r="B215" s="3" t="str" cm="1">
        <f t="array" ref="B215">_xlfn.XLOOKUP(tbMedições[[#This Row],[EMPRESA]]&amp;tbMedições[[#This Row],[OBRA]],tbContratos[EMPRESA]&amp;tbContratos[OBRA],tbContratos[CONTRATO_ID],"Não localizado")</f>
        <v>CT059</v>
      </c>
      <c r="C215" s="1" t="s">
        <v>640</v>
      </c>
      <c r="D215" s="1" t="s">
        <v>56</v>
      </c>
      <c r="E215" s="2" t="s">
        <v>645</v>
      </c>
      <c r="F215" s="2">
        <f>12.99/_xlfn.XLOOKUP(tbMedições[[#This Row],[CONTRATO_ID]],tbContratos[CONTRATO_ID],tbContratos[VALOR CONTRATO],"Não encontrado")</f>
        <v>4.4834970034087003E-5</v>
      </c>
      <c r="G215" s="3"/>
      <c r="H215" s="4">
        <v>46160</v>
      </c>
      <c r="I215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46160</v>
      </c>
      <c r="J215" s="4" t="str">
        <f>TEXT(tbMedições[[#This Row],[DATA REFERÊNCIA]],"aa/mm")</f>
        <v>26/05</v>
      </c>
      <c r="K215" s="12">
        <f>_xlfn.XLOOKUP(tbMedições[[#This Row],[CONTRATO_ID]],tbContratos[CONTRATO_ID],tbContratos[VALOR CONTRATO],"Não encontrado")*tbMedições[[#This Row],[PERCENTUAL]]</f>
        <v>12.99</v>
      </c>
      <c r="L215" s="1" t="s">
        <v>19</v>
      </c>
      <c r="M215" s="1"/>
      <c r="N215" s="1"/>
    </row>
    <row r="216" spans="1:14" x14ac:dyDescent="0.3">
      <c r="A216" s="1" t="s">
        <v>653</v>
      </c>
      <c r="B216" s="3" t="str" cm="1">
        <f t="array" ref="B216">_xlfn.XLOOKUP(tbMedições[[#This Row],[EMPRESA]]&amp;tbMedições[[#This Row],[OBRA]],tbContratos[EMPRESA]&amp;tbContratos[OBRA],tbContratos[CONTRATO_ID],"Não localizado")</f>
        <v>CT059</v>
      </c>
      <c r="C216" s="1" t="s">
        <v>640</v>
      </c>
      <c r="D216" s="1" t="s">
        <v>56</v>
      </c>
      <c r="E216" s="2" t="s">
        <v>645</v>
      </c>
      <c r="F216" s="2">
        <f>87.18/_xlfn.XLOOKUP(tbMedições[[#This Row],[CONTRATO_ID]],tbContratos[CONTRATO_ID],tbContratos[VALOR CONTRATO],"Não encontrado")</f>
        <v>3.0090166955902271E-4</v>
      </c>
      <c r="G216" s="3"/>
      <c r="H216" s="4">
        <v>46164</v>
      </c>
      <c r="I216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46164</v>
      </c>
      <c r="J216" s="4" t="str">
        <f>TEXT(tbMedições[[#This Row],[DATA REFERÊNCIA]],"aa/mm")</f>
        <v>26/05</v>
      </c>
      <c r="K216" s="12">
        <f>_xlfn.XLOOKUP(tbMedições[[#This Row],[CONTRATO_ID]],tbContratos[CONTRATO_ID],tbContratos[VALOR CONTRATO],"Não encontrado")*tbMedições[[#This Row],[PERCENTUAL]]</f>
        <v>87.18</v>
      </c>
      <c r="L216" s="1" t="s">
        <v>19</v>
      </c>
      <c r="M216" s="1"/>
      <c r="N216" s="1"/>
    </row>
    <row r="217" spans="1:14" x14ac:dyDescent="0.3">
      <c r="A217" s="1" t="s">
        <v>654</v>
      </c>
      <c r="B217" s="3" t="str" cm="1">
        <f t="array" ref="B217">_xlfn.XLOOKUP(tbMedições[[#This Row],[EMPRESA]]&amp;tbMedições[[#This Row],[OBRA]],tbContratos[EMPRESA]&amp;tbContratos[OBRA],tbContratos[CONTRATO_ID],"Não localizado")</f>
        <v>CT059</v>
      </c>
      <c r="C217" s="1" t="s">
        <v>640</v>
      </c>
      <c r="D217" s="1" t="s">
        <v>56</v>
      </c>
      <c r="E217" s="2" t="s">
        <v>646</v>
      </c>
      <c r="F217" s="2">
        <f>9220.63/_xlfn.XLOOKUP(tbMedições[[#This Row],[CONTRATO_ID]],tbContratos[CONTRATO_ID],tbContratos[VALOR CONTRATO],"Não encontrado")</f>
        <v>3.1824993821817062E-2</v>
      </c>
      <c r="G217" s="3"/>
      <c r="H217" s="4">
        <v>46178</v>
      </c>
      <c r="I217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46178</v>
      </c>
      <c r="J217" s="4" t="str">
        <f>TEXT(tbMedições[[#This Row],[DATA REFERÊNCIA]],"aa/mm")</f>
        <v>26/06</v>
      </c>
      <c r="K217" s="12">
        <f>_xlfn.XLOOKUP(tbMedições[[#This Row],[CONTRATO_ID]],tbContratos[CONTRATO_ID],tbContratos[VALOR CONTRATO],"Não encontrado")*tbMedições[[#This Row],[PERCENTUAL]]</f>
        <v>9220.630000000001</v>
      </c>
      <c r="L217" s="1" t="s">
        <v>19</v>
      </c>
      <c r="M217" s="1"/>
      <c r="N217" s="1"/>
    </row>
    <row r="218" spans="1:14" x14ac:dyDescent="0.3">
      <c r="A218" s="1" t="s">
        <v>655</v>
      </c>
      <c r="B218" s="3" t="str" cm="1">
        <f t="array" ref="B218">_xlfn.XLOOKUP(tbMedições[[#This Row],[EMPRESA]]&amp;tbMedições[[#This Row],[OBRA]],tbContratos[EMPRESA]&amp;tbContratos[OBRA],tbContratos[CONTRATO_ID],"Não localizado")</f>
        <v>CT061</v>
      </c>
      <c r="C218" s="1" t="s">
        <v>640</v>
      </c>
      <c r="D218" s="1" t="s">
        <v>59</v>
      </c>
      <c r="E218" s="2" t="s">
        <v>643</v>
      </c>
      <c r="F218" s="2">
        <f>108.39/_xlfn.XLOOKUP(tbMedições[[#This Row],[CONTRATO_ID]],tbContratos[CONTRATO_ID],tbContratos[VALOR CONTRATO],"Não encontrado")</f>
        <v>4.5979790781134667E-4</v>
      </c>
      <c r="G218" s="3"/>
      <c r="H218" s="4">
        <v>46188</v>
      </c>
      <c r="I218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46188</v>
      </c>
      <c r="J218" s="4" t="str">
        <f>TEXT(tbMedições[[#This Row],[DATA REFERÊNCIA]],"aa/mm")</f>
        <v>26/06</v>
      </c>
      <c r="K218" s="12">
        <f>_xlfn.XLOOKUP(tbMedições[[#This Row],[CONTRATO_ID]],tbContratos[CONTRATO_ID],tbContratos[VALOR CONTRATO],"Não encontrado")*tbMedições[[#This Row],[PERCENTUAL]]</f>
        <v>108.39</v>
      </c>
      <c r="L218" s="1" t="s">
        <v>19</v>
      </c>
      <c r="M218" s="1"/>
      <c r="N218" s="1"/>
    </row>
    <row r="219" spans="1:14" x14ac:dyDescent="0.3">
      <c r="A219" s="1" t="s">
        <v>656</v>
      </c>
      <c r="B219" s="3" t="str" cm="1">
        <f t="array" ref="B219">_xlfn.XLOOKUP(tbMedições[[#This Row],[EMPRESA]]&amp;tbMedições[[#This Row],[OBRA]],tbContratos[EMPRESA]&amp;tbContratos[OBRA],tbContratos[CONTRATO_ID],"Não localizado")</f>
        <v>CT058</v>
      </c>
      <c r="C219" s="1" t="s">
        <v>640</v>
      </c>
      <c r="D219" s="1" t="s">
        <v>47</v>
      </c>
      <c r="E219" s="2" t="s">
        <v>643</v>
      </c>
      <c r="F219" s="2">
        <f>108.39/_xlfn.XLOOKUP(tbMedições[[#This Row],[CONTRATO_ID]],tbContratos[CONTRATO_ID],tbContratos[VALOR CONTRATO],"Não encontrado")</f>
        <v>2.1110696475746556E-4</v>
      </c>
      <c r="G219" s="3"/>
      <c r="H219" s="4">
        <v>46190</v>
      </c>
      <c r="I219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46190</v>
      </c>
      <c r="J219" s="4" t="str">
        <f>TEXT(tbMedições[[#This Row],[DATA REFERÊNCIA]],"aa/mm")</f>
        <v>26/06</v>
      </c>
      <c r="K219" s="12">
        <f>_xlfn.XLOOKUP(tbMedições[[#This Row],[CONTRATO_ID]],tbContratos[CONTRATO_ID],tbContratos[VALOR CONTRATO],"Não encontrado")*tbMedições[[#This Row],[PERCENTUAL]]</f>
        <v>108.39</v>
      </c>
      <c r="L219" s="1" t="s">
        <v>19</v>
      </c>
      <c r="M219" s="1"/>
      <c r="N219" s="1"/>
    </row>
    <row r="220" spans="1:14" x14ac:dyDescent="0.3">
      <c r="A220" s="1" t="s">
        <v>657</v>
      </c>
      <c r="B220" s="3" t="str" cm="1">
        <f t="array" ref="B220">_xlfn.XLOOKUP(tbMedições[[#This Row],[EMPRESA]]&amp;tbMedições[[#This Row],[OBRA]],tbContratos[EMPRESA]&amp;tbContratos[OBRA],tbContratos[CONTRATO_ID],"Não localizado")</f>
        <v>CT061</v>
      </c>
      <c r="C220" s="1" t="s">
        <v>640</v>
      </c>
      <c r="D220" s="1" t="s">
        <v>59</v>
      </c>
      <c r="E220" s="2" t="s">
        <v>644</v>
      </c>
      <c r="F220" s="2">
        <f>2600.98/_xlfn.XLOOKUP(tbMedições[[#This Row],[CONTRATO_ID]],tbContratos[CONTRATO_ID],tbContratos[VALOR CONTRATO],"Não encontrado")</f>
        <v>1.103353780108088E-2</v>
      </c>
      <c r="G220" s="3"/>
      <c r="H220" s="4">
        <v>46192</v>
      </c>
      <c r="I220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46192</v>
      </c>
      <c r="J220" s="4" t="str">
        <f>TEXT(tbMedições[[#This Row],[DATA REFERÊNCIA]],"aa/mm")</f>
        <v>26/06</v>
      </c>
      <c r="K220" s="12">
        <f>_xlfn.XLOOKUP(tbMedições[[#This Row],[CONTRATO_ID]],tbContratos[CONTRATO_ID],tbContratos[VALOR CONTRATO],"Não encontrado")*tbMedições[[#This Row],[PERCENTUAL]]</f>
        <v>2600.98</v>
      </c>
      <c r="L220" s="1" t="s">
        <v>19</v>
      </c>
      <c r="M220" s="1"/>
      <c r="N220" s="1"/>
    </row>
    <row r="221" spans="1:14" x14ac:dyDescent="0.3">
      <c r="A221" s="1" t="s">
        <v>658</v>
      </c>
      <c r="B221" s="3" t="str" cm="1">
        <f t="array" ref="B221">_xlfn.XLOOKUP(tbMedições[[#This Row],[EMPRESA]]&amp;tbMedições[[#This Row],[OBRA]],tbContratos[EMPRESA]&amp;tbContratos[OBRA],tbContratos[CONTRATO_ID],"Não localizado")</f>
        <v>CT059</v>
      </c>
      <c r="C221" s="1" t="s">
        <v>640</v>
      </c>
      <c r="D221" s="1" t="s">
        <v>56</v>
      </c>
      <c r="E221" s="2" t="s">
        <v>647</v>
      </c>
      <c r="F221" s="2">
        <f>1117.08/_xlfn.XLOOKUP(tbMedições[[#This Row],[CONTRATO_ID]],tbContratos[CONTRATO_ID],tbContratos[VALOR CONTRATO],"Não encontrado")</f>
        <v>3.8556003330006083E-3</v>
      </c>
      <c r="G221" s="3"/>
      <c r="H221" s="4">
        <v>46196</v>
      </c>
      <c r="I221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46196</v>
      </c>
      <c r="J221" s="4" t="str">
        <f>TEXT(tbMedições[[#This Row],[DATA REFERÊNCIA]],"aa/mm")</f>
        <v>26/06</v>
      </c>
      <c r="K221" s="12">
        <f>_xlfn.XLOOKUP(tbMedições[[#This Row],[CONTRATO_ID]],tbContratos[CONTRATO_ID],tbContratos[VALOR CONTRATO],"Não encontrado")*tbMedições[[#This Row],[PERCENTUAL]]</f>
        <v>1117.08</v>
      </c>
      <c r="L221" s="1" t="s">
        <v>19</v>
      </c>
      <c r="M221" s="1"/>
      <c r="N221" s="1"/>
    </row>
    <row r="222" spans="1:14" x14ac:dyDescent="0.3">
      <c r="A222" s="1" t="s">
        <v>659</v>
      </c>
      <c r="B222" s="3" t="str" cm="1">
        <f t="array" ref="B222">_xlfn.XLOOKUP(tbMedições[[#This Row],[EMPRESA]]&amp;tbMedições[[#This Row],[OBRA]],tbContratos[EMPRESA]&amp;tbContratos[OBRA],tbContratos[CONTRATO_ID],"Não localizado")</f>
        <v>CT059</v>
      </c>
      <c r="C222" s="1" t="s">
        <v>640</v>
      </c>
      <c r="D222" s="1" t="s">
        <v>56</v>
      </c>
      <c r="E222" s="2" t="s">
        <v>647</v>
      </c>
      <c r="F222" s="2">
        <f>461.16/_xlfn.XLOOKUP(tbMedições[[#This Row],[CONTRATO_ID]],tbContratos[CONTRATO_ID],tbContratos[VALOR CONTRATO],"Não encontrado")</f>
        <v>1.5916932086928069E-3</v>
      </c>
      <c r="G222" s="3"/>
      <c r="H222" s="4">
        <v>46204</v>
      </c>
      <c r="I222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46204</v>
      </c>
      <c r="J222" s="4" t="str">
        <f>TEXT(tbMedições[[#This Row],[DATA REFERÊNCIA]],"aa/mm")</f>
        <v>26/07</v>
      </c>
      <c r="K222" s="12">
        <f>_xlfn.XLOOKUP(tbMedições[[#This Row],[CONTRATO_ID]],tbContratos[CONTRATO_ID],tbContratos[VALOR CONTRATO],"Não encontrado")*tbMedições[[#This Row],[PERCENTUAL]]</f>
        <v>461.16</v>
      </c>
      <c r="L222" s="1" t="s">
        <v>19</v>
      </c>
      <c r="M222" s="1"/>
      <c r="N222" s="1"/>
    </row>
    <row r="223" spans="1:14" x14ac:dyDescent="0.3">
      <c r="A223" s="1" t="s">
        <v>660</v>
      </c>
      <c r="B223" s="3" t="str" cm="1">
        <f t="array" ref="B223">_xlfn.XLOOKUP(tbMedições[[#This Row],[EMPRESA]]&amp;tbMedições[[#This Row],[OBRA]],tbContratos[EMPRESA]&amp;tbContratos[OBRA],tbContratos[CONTRATO_ID],"Não localizado")</f>
        <v>CT059</v>
      </c>
      <c r="C223" s="1" t="s">
        <v>640</v>
      </c>
      <c r="D223" s="1" t="s">
        <v>56</v>
      </c>
      <c r="E223" s="2" t="s">
        <v>645</v>
      </c>
      <c r="F223" s="2">
        <f>87.18/_xlfn.XLOOKUP(tbMedições[[#This Row],[CONTRATO_ID]],tbContratos[CONTRATO_ID],tbContratos[VALOR CONTRATO],"Não encontrado")</f>
        <v>3.0090166955902271E-4</v>
      </c>
      <c r="G223" s="3"/>
      <c r="H223" s="4">
        <v>46212</v>
      </c>
      <c r="I223" s="4">
        <f>IF(tbMedições[[#This Row],[STATUS]]="Cancelada",DATE(1900,1,1),IF(OR(tbMedições[[#This Row],[STATUS]]="Pago",tbMedições[[#This Row],[STATUS]]="Medido"),tbMedições[[#This Row],[DATA MEDIÇÃO]],tbMedições[[#This Row],[DATA PREVISTA]]))</f>
        <v>46212</v>
      </c>
      <c r="J223" s="4" t="str">
        <f>TEXT(tbMedições[[#This Row],[DATA REFERÊNCIA]],"aa/mm")</f>
        <v>26/07</v>
      </c>
      <c r="K223" s="12">
        <f>_xlfn.XLOOKUP(tbMedições[[#This Row],[CONTRATO_ID]],tbContratos[CONTRATO_ID],tbContratos[VALOR CONTRATO],"Não encontrado")*tbMedições[[#This Row],[PERCENTUAL]]</f>
        <v>87.18</v>
      </c>
      <c r="L223" s="1" t="s">
        <v>19</v>
      </c>
      <c r="M223" s="1"/>
      <c r="N223" s="1"/>
    </row>
  </sheetData>
  <phoneticPr fontId="3" type="noConversion"/>
  <dataValidations count="1">
    <dataValidation type="list" allowBlank="1" showInputMessage="1" showErrorMessage="1" sqref="L2:L223" xr:uid="{B365335D-9E74-42C1-BC34-ED8BE2048FA7}">
      <formula1>ListaStatusMedição</formula1>
    </dataValidation>
  </dataValidations>
  <pageMargins left="0.511811024" right="0.511811024" top="0.78740157499999996" bottom="0.78740157499999996" header="0.31496062000000002" footer="0.31496062000000002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3D8E-D8F9-453E-907E-DEC1B6008556}">
  <dimension ref="E3:O34"/>
  <sheetViews>
    <sheetView topLeftCell="A2" workbookViewId="0">
      <selection activeCell="L12" sqref="L12"/>
    </sheetView>
  </sheetViews>
  <sheetFormatPr defaultRowHeight="14.4" x14ac:dyDescent="0.3"/>
  <cols>
    <col min="8" max="8" width="10.33203125" bestFit="1" customWidth="1"/>
    <col min="11" max="11" width="19.44140625" bestFit="1" customWidth="1"/>
    <col min="12" max="12" width="24.5546875" bestFit="1" customWidth="1"/>
    <col min="13" max="13" width="22.6640625" bestFit="1" customWidth="1"/>
  </cols>
  <sheetData>
    <row r="3" spans="5:15" x14ac:dyDescent="0.3">
      <c r="E3" t="s">
        <v>702</v>
      </c>
    </row>
    <row r="4" spans="5:15" x14ac:dyDescent="0.3">
      <c r="E4" t="s">
        <v>382</v>
      </c>
      <c r="F4" t="s">
        <v>703</v>
      </c>
      <c r="G4" t="s">
        <v>46</v>
      </c>
      <c r="H4" t="s">
        <v>704</v>
      </c>
      <c r="I4" t="s">
        <v>705</v>
      </c>
      <c r="J4" t="s">
        <v>706</v>
      </c>
      <c r="K4" t="s">
        <v>708</v>
      </c>
      <c r="L4" t="s">
        <v>709</v>
      </c>
      <c r="M4" t="s">
        <v>710</v>
      </c>
    </row>
    <row r="5" spans="5:15" x14ac:dyDescent="0.3">
      <c r="E5">
        <v>268</v>
      </c>
      <c r="F5">
        <v>1874.49</v>
      </c>
      <c r="G5">
        <v>65</v>
      </c>
      <c r="H5">
        <v>6458.72</v>
      </c>
      <c r="I5">
        <f>H5-F5</f>
        <v>4584.2300000000005</v>
      </c>
      <c r="J5">
        <v>4373.82</v>
      </c>
      <c r="K5">
        <f>I5-J5</f>
        <v>210.41000000000076</v>
      </c>
      <c r="L5" s="25">
        <f>K5/H5</f>
        <v>3.2577662447048447E-2</v>
      </c>
      <c r="M5">
        <f>H5*(1-L5)</f>
        <v>6248.3099999999995</v>
      </c>
      <c r="N5">
        <f>M5-F5</f>
        <v>4373.82</v>
      </c>
      <c r="O5">
        <f>F5/M5</f>
        <v>0.29999951987017293</v>
      </c>
    </row>
    <row r="6" spans="5:15" x14ac:dyDescent="0.3">
      <c r="E6">
        <v>269</v>
      </c>
      <c r="F6">
        <v>3728.84</v>
      </c>
      <c r="G6">
        <v>71</v>
      </c>
      <c r="H6">
        <v>12849.7</v>
      </c>
      <c r="I6">
        <f>H6-F6</f>
        <v>9120.86</v>
      </c>
      <c r="J6">
        <v>8700.61</v>
      </c>
      <c r="K6">
        <f>I6-J6</f>
        <v>420.25</v>
      </c>
      <c r="L6" s="25">
        <f>K6/H6</f>
        <v>3.2705043697518227E-2</v>
      </c>
      <c r="M6">
        <f t="shared" ref="M6:M8" si="0">H6*(1-L6)</f>
        <v>12429.45</v>
      </c>
    </row>
    <row r="7" spans="5:15" x14ac:dyDescent="0.3">
      <c r="E7">
        <v>267</v>
      </c>
      <c r="F7">
        <v>2420.13</v>
      </c>
      <c r="G7">
        <v>77</v>
      </c>
      <c r="H7">
        <v>8339.15</v>
      </c>
      <c r="I7">
        <f>H7-F7</f>
        <v>5919.0199999999995</v>
      </c>
      <c r="J7">
        <v>5646.98</v>
      </c>
      <c r="K7">
        <f>I7-J7</f>
        <v>272.03999999999996</v>
      </c>
      <c r="L7" s="25">
        <f>K7/H7</f>
        <v>3.2622029823183414E-2</v>
      </c>
      <c r="M7">
        <f t="shared" si="0"/>
        <v>8067.11</v>
      </c>
    </row>
    <row r="8" spans="5:15" x14ac:dyDescent="0.3">
      <c r="E8">
        <v>266</v>
      </c>
      <c r="F8">
        <v>2476.54</v>
      </c>
      <c r="G8">
        <v>82</v>
      </c>
      <c r="H8">
        <v>8533.49</v>
      </c>
      <c r="I8">
        <f>H8-F8</f>
        <v>6056.95</v>
      </c>
      <c r="J8">
        <v>5778.6</v>
      </c>
      <c r="K8">
        <f>I8-J8</f>
        <v>278.34999999999945</v>
      </c>
      <c r="L8" s="25">
        <f>K8/H8</f>
        <v>3.2618541768959647E-2</v>
      </c>
      <c r="M8">
        <f t="shared" si="0"/>
        <v>8255.1400000000012</v>
      </c>
    </row>
    <row r="9" spans="5:15" x14ac:dyDescent="0.3">
      <c r="F9">
        <f>SUM(F5:F8)</f>
        <v>10500</v>
      </c>
      <c r="H9">
        <f>SUM(H5:H8)</f>
        <v>36181.06</v>
      </c>
    </row>
    <row r="11" spans="5:15" x14ac:dyDescent="0.3">
      <c r="E11" t="s">
        <v>707</v>
      </c>
    </row>
    <row r="12" spans="5:15" x14ac:dyDescent="0.3">
      <c r="E12">
        <v>411</v>
      </c>
      <c r="F12">
        <v>5778.6</v>
      </c>
    </row>
    <row r="13" spans="5:15" x14ac:dyDescent="0.3">
      <c r="E13">
        <v>412</v>
      </c>
      <c r="F13">
        <v>4373.82</v>
      </c>
    </row>
    <row r="14" spans="5:15" x14ac:dyDescent="0.3">
      <c r="E14">
        <v>413</v>
      </c>
      <c r="F14">
        <v>5646.98</v>
      </c>
    </row>
    <row r="15" spans="5:15" x14ac:dyDescent="0.3">
      <c r="E15">
        <v>414</v>
      </c>
      <c r="F15">
        <v>8700.61</v>
      </c>
    </row>
    <row r="19" spans="5:13" x14ac:dyDescent="0.3">
      <c r="E19" s="31" t="s">
        <v>101</v>
      </c>
      <c r="F19" s="31" t="s">
        <v>78</v>
      </c>
      <c r="G19" s="31" t="s">
        <v>46</v>
      </c>
      <c r="H19" s="32" t="s">
        <v>72</v>
      </c>
      <c r="I19" s="32" t="s">
        <v>73</v>
      </c>
      <c r="J19" s="31" t="s">
        <v>675</v>
      </c>
      <c r="K19" s="31" t="s">
        <v>381</v>
      </c>
      <c r="L19" s="31" t="s">
        <v>662</v>
      </c>
      <c r="M19" s="33" t="s">
        <v>663</v>
      </c>
    </row>
    <row r="20" spans="5:13" x14ac:dyDescent="0.3">
      <c r="E20" s="34">
        <v>95</v>
      </c>
      <c r="F20" s="34" t="s">
        <v>97</v>
      </c>
      <c r="G20" s="34" t="s">
        <v>47</v>
      </c>
      <c r="H20" s="34" t="s">
        <v>103</v>
      </c>
      <c r="I20" s="34" t="s">
        <v>113</v>
      </c>
      <c r="J20" s="35">
        <v>108000</v>
      </c>
      <c r="K20" s="35">
        <v>102600</v>
      </c>
      <c r="L20" s="35">
        <v>5400</v>
      </c>
      <c r="M20" s="36">
        <v>0.95</v>
      </c>
    </row>
    <row r="21" spans="5:13" x14ac:dyDescent="0.3">
      <c r="E21" s="37">
        <v>240</v>
      </c>
      <c r="F21" s="37" t="s">
        <v>80</v>
      </c>
      <c r="G21" s="37" t="s">
        <v>47</v>
      </c>
      <c r="H21" s="37" t="s">
        <v>91</v>
      </c>
      <c r="I21" s="37" t="s">
        <v>114</v>
      </c>
      <c r="J21" s="38">
        <v>90000</v>
      </c>
      <c r="K21" s="38">
        <v>18000</v>
      </c>
      <c r="L21" s="38">
        <v>72000</v>
      </c>
      <c r="M21" s="39">
        <v>0.2</v>
      </c>
    </row>
    <row r="22" spans="5:13" x14ac:dyDescent="0.3">
      <c r="E22" s="34">
        <v>310</v>
      </c>
      <c r="F22" s="34" t="s">
        <v>84</v>
      </c>
      <c r="G22" s="34" t="s">
        <v>47</v>
      </c>
      <c r="H22" s="34" t="s">
        <v>21</v>
      </c>
      <c r="I22" s="34" t="s">
        <v>21</v>
      </c>
      <c r="J22" s="35">
        <v>39500</v>
      </c>
      <c r="K22" s="35">
        <v>20699.999999999996</v>
      </c>
      <c r="L22" s="35">
        <v>18800.000000000004</v>
      </c>
      <c r="M22" s="36">
        <v>0.52405063291139231</v>
      </c>
    </row>
    <row r="23" spans="5:13" x14ac:dyDescent="0.3">
      <c r="E23" s="37">
        <v>451</v>
      </c>
      <c r="F23" s="37" t="s">
        <v>85</v>
      </c>
      <c r="G23" s="37" t="s">
        <v>47</v>
      </c>
      <c r="H23" s="37" t="s">
        <v>23</v>
      </c>
      <c r="I23" s="37" t="s">
        <v>23</v>
      </c>
      <c r="J23" s="38">
        <v>17500.650000000001</v>
      </c>
      <c r="K23" s="38">
        <v>17500.650000000001</v>
      </c>
      <c r="L23" s="38">
        <v>0</v>
      </c>
      <c r="M23" s="39">
        <v>1</v>
      </c>
    </row>
    <row r="24" spans="5:13" x14ac:dyDescent="0.3">
      <c r="E24" s="34">
        <v>476</v>
      </c>
      <c r="F24" s="34" t="s">
        <v>89</v>
      </c>
      <c r="G24" s="34" t="s">
        <v>47</v>
      </c>
      <c r="H24" s="34" t="s">
        <v>23</v>
      </c>
      <c r="I24" s="34" t="s">
        <v>23</v>
      </c>
      <c r="J24" s="35">
        <v>1800</v>
      </c>
      <c r="K24" s="35">
        <v>1800</v>
      </c>
      <c r="L24" s="35">
        <v>0</v>
      </c>
      <c r="M24" s="36">
        <v>1</v>
      </c>
    </row>
    <row r="25" spans="5:13" x14ac:dyDescent="0.3">
      <c r="E25" s="37">
        <v>475</v>
      </c>
      <c r="F25" s="37" t="s">
        <v>90</v>
      </c>
      <c r="G25" s="37" t="s">
        <v>47</v>
      </c>
      <c r="H25" s="37" t="s">
        <v>23</v>
      </c>
      <c r="I25" s="37" t="s">
        <v>23</v>
      </c>
      <c r="J25" s="38">
        <v>2580</v>
      </c>
      <c r="K25" s="38">
        <v>2580</v>
      </c>
      <c r="L25" s="38">
        <v>0</v>
      </c>
      <c r="M25" s="39">
        <v>1</v>
      </c>
    </row>
    <row r="26" spans="5:13" x14ac:dyDescent="0.3">
      <c r="E26" s="34"/>
      <c r="F26" s="34" t="s">
        <v>98</v>
      </c>
      <c r="G26" s="34" t="s">
        <v>47</v>
      </c>
      <c r="H26" s="34" t="s">
        <v>29</v>
      </c>
      <c r="I26" s="34" t="s">
        <v>29</v>
      </c>
      <c r="J26" s="35">
        <v>4550</v>
      </c>
      <c r="K26" s="35">
        <v>4550</v>
      </c>
      <c r="L26" s="35">
        <v>0</v>
      </c>
      <c r="M26" s="36">
        <v>1</v>
      </c>
    </row>
    <row r="27" spans="5:13" x14ac:dyDescent="0.3">
      <c r="E27" s="37">
        <v>349</v>
      </c>
      <c r="F27" s="37" t="s">
        <v>86</v>
      </c>
      <c r="G27" s="37" t="s">
        <v>47</v>
      </c>
      <c r="H27" s="37" t="s">
        <v>33</v>
      </c>
      <c r="I27" s="37" t="s">
        <v>119</v>
      </c>
      <c r="J27" s="38">
        <v>25000</v>
      </c>
      <c r="K27" s="38">
        <v>0</v>
      </c>
      <c r="L27" s="38">
        <v>25000</v>
      </c>
      <c r="M27" s="39">
        <v>0</v>
      </c>
    </row>
    <row r="28" spans="5:13" x14ac:dyDescent="0.3">
      <c r="E28" s="34">
        <v>265</v>
      </c>
      <c r="F28" s="34" t="s">
        <v>82</v>
      </c>
      <c r="G28" s="34" t="s">
        <v>47</v>
      </c>
      <c r="H28" s="34" t="s">
        <v>92</v>
      </c>
      <c r="I28" s="34" t="s">
        <v>323</v>
      </c>
      <c r="J28" s="35">
        <v>9000</v>
      </c>
      <c r="K28" s="35">
        <v>9000</v>
      </c>
      <c r="L28" s="35">
        <v>0</v>
      </c>
      <c r="M28" s="36">
        <v>1</v>
      </c>
    </row>
    <row r="29" spans="5:13" x14ac:dyDescent="0.3">
      <c r="E29" s="37">
        <v>345</v>
      </c>
      <c r="F29" s="37" t="s">
        <v>34</v>
      </c>
      <c r="G29" s="37" t="s">
        <v>47</v>
      </c>
      <c r="H29" s="37" t="s">
        <v>35</v>
      </c>
      <c r="I29" s="37" t="s">
        <v>35</v>
      </c>
      <c r="J29" s="38">
        <v>150000</v>
      </c>
      <c r="K29" s="38">
        <v>67000</v>
      </c>
      <c r="L29" s="38">
        <v>83000</v>
      </c>
      <c r="M29" s="39">
        <v>0.44666666666666666</v>
      </c>
    </row>
    <row r="30" spans="5:13" x14ac:dyDescent="0.3">
      <c r="E30" s="34">
        <v>528</v>
      </c>
      <c r="F30" s="34" t="s">
        <v>81</v>
      </c>
      <c r="G30" s="34" t="s">
        <v>47</v>
      </c>
      <c r="H30" s="34" t="s">
        <v>35</v>
      </c>
      <c r="I30" s="34" t="s">
        <v>35</v>
      </c>
      <c r="J30" s="35">
        <v>140000</v>
      </c>
      <c r="K30" s="35">
        <v>42000</v>
      </c>
      <c r="L30" s="35">
        <v>98000</v>
      </c>
      <c r="M30" s="36">
        <v>0.3</v>
      </c>
    </row>
    <row r="31" spans="5:13" x14ac:dyDescent="0.3">
      <c r="E31" s="37">
        <v>431</v>
      </c>
      <c r="F31" s="37" t="s">
        <v>88</v>
      </c>
      <c r="G31" s="37" t="s">
        <v>47</v>
      </c>
      <c r="H31" s="37" t="s">
        <v>39</v>
      </c>
      <c r="I31" s="37" t="s">
        <v>39</v>
      </c>
      <c r="J31" s="38">
        <v>5000</v>
      </c>
      <c r="K31" s="38">
        <v>0</v>
      </c>
      <c r="L31" s="38">
        <v>5000</v>
      </c>
      <c r="M31" s="39">
        <v>0</v>
      </c>
    </row>
    <row r="32" spans="5:13" x14ac:dyDescent="0.3">
      <c r="E32" s="34">
        <v>382</v>
      </c>
      <c r="F32" s="34" t="s">
        <v>94</v>
      </c>
      <c r="G32" s="34" t="s">
        <v>47</v>
      </c>
      <c r="H32" s="34" t="s">
        <v>25</v>
      </c>
      <c r="I32" s="34" t="s">
        <v>25</v>
      </c>
      <c r="J32" s="35">
        <v>14250</v>
      </c>
      <c r="K32" s="35">
        <v>7125</v>
      </c>
      <c r="L32" s="35">
        <v>7125</v>
      </c>
      <c r="M32" s="36">
        <v>0.5</v>
      </c>
    </row>
    <row r="33" spans="5:13" x14ac:dyDescent="0.3">
      <c r="E33" s="37">
        <v>385</v>
      </c>
      <c r="F33" s="37" t="s">
        <v>100</v>
      </c>
      <c r="G33" s="37" t="s">
        <v>47</v>
      </c>
      <c r="H33" s="37" t="s">
        <v>25</v>
      </c>
      <c r="I33" s="37" t="s">
        <v>25</v>
      </c>
      <c r="J33" s="38">
        <v>600</v>
      </c>
      <c r="K33" s="38">
        <v>600</v>
      </c>
      <c r="L33" s="38">
        <v>0</v>
      </c>
      <c r="M33" s="39">
        <v>1</v>
      </c>
    </row>
    <row r="34" spans="5:13" x14ac:dyDescent="0.3">
      <c r="E34" s="40"/>
      <c r="F34" s="40" t="s">
        <v>640</v>
      </c>
      <c r="G34" s="40" t="s">
        <v>47</v>
      </c>
      <c r="H34" s="40" t="s">
        <v>25</v>
      </c>
      <c r="I34" s="41" t="s">
        <v>25</v>
      </c>
      <c r="J34" s="42">
        <v>513436.4</v>
      </c>
      <c r="K34" s="42">
        <v>6060.0300000000007</v>
      </c>
      <c r="L34" s="42">
        <v>507376.37</v>
      </c>
      <c r="M34" s="43">
        <v>1.1802883473006589E-2</v>
      </c>
    </row>
  </sheetData>
  <dataValidations count="3">
    <dataValidation type="list" allowBlank="1" showInputMessage="1" showErrorMessage="1" sqref="I20:I34" xr:uid="{877E07DB-2008-4EFF-BC62-AEA483B558ED}">
      <formula1>ListaSubdisciplinas</formula1>
    </dataValidation>
    <dataValidation type="list" allowBlank="1" showInputMessage="1" showErrorMessage="1" sqref="G20:G34" xr:uid="{1CFD5F32-EAC6-48D8-89F9-ECEB454AF409}">
      <formula1>ListaObras</formula1>
    </dataValidation>
    <dataValidation type="list" allowBlank="1" showInputMessage="1" showErrorMessage="1" sqref="F20:F34" xr:uid="{0C239B55-A0EF-4AB3-806C-1549D86E953C}">
      <formula1>ListaFornecedores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Resumo</vt:lpstr>
      <vt:lpstr>Listas</vt:lpstr>
      <vt:lpstr>Cálculos</vt:lpstr>
      <vt:lpstr>tbOrçamento</vt:lpstr>
      <vt:lpstr>tbContratos</vt:lpstr>
      <vt:lpstr>tbMedições</vt:lpstr>
      <vt:lpstr>Planilha1</vt:lpstr>
      <vt:lpstr>ListaDisciplinas</vt:lpstr>
      <vt:lpstr>ListaFornecedores</vt:lpstr>
      <vt:lpstr>ListaObras</vt:lpstr>
      <vt:lpstr>ListaStatusMedição</vt:lpstr>
      <vt:lpstr>ListaStatusOrçamento</vt:lpstr>
      <vt:lpstr>ListaSubdisciplinas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Pena</dc:creator>
  <cp:lastModifiedBy>Arthur Pena</cp:lastModifiedBy>
  <dcterms:created xsi:type="dcterms:W3CDTF">2026-06-16T11:34:34Z</dcterms:created>
  <dcterms:modified xsi:type="dcterms:W3CDTF">2026-08-18T21:37:21Z</dcterms:modified>
</cp:coreProperties>
</file>