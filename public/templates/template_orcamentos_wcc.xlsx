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r Pena\Documents\GitHub\Gest-oApontamentos\public\templates\"/>
    </mc:Choice>
  </mc:AlternateContent>
  <xr:revisionPtr revIDLastSave="0" documentId="8_{436DAB0A-DB91-4097-BABA-512EC6E6C5FC}" xr6:coauthVersionLast="47" xr6:coauthVersionMax="47" xr10:uidLastSave="{00000000-0000-0000-0000-000000000000}"/>
  <bookViews>
    <workbookView xWindow="-108" yWindow="-108" windowWidth="23256" windowHeight="12456" xr2:uid="{F401858B-CCDB-49D3-8C36-4871457A35DE}"/>
  </bookViews>
  <sheets>
    <sheet name="Dashboard_Resumo" sheetId="1" r:id="rId1"/>
    <sheet name="tbOrcamentoBase" sheetId="2" r:id="rId2"/>
    <sheet name="tbContratos" sheetId="3" r:id="rId3"/>
    <sheet name="tbMedicoes" sheetId="4" r:id="rId4"/>
    <sheet name="tbAditivos" sheetId="5" r:id="rId5"/>
    <sheet name="tbCurvaS" sheetId="6" r:id="rId6"/>
    <sheet name="tbObra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9" i="1"/>
  <c r="D9" i="1"/>
  <c r="G8" i="1"/>
  <c r="G7" i="1"/>
  <c r="B7" i="1"/>
  <c r="D7" i="1" s="1"/>
  <c r="G6" i="1"/>
  <c r="D6" i="1"/>
  <c r="B6" i="1"/>
  <c r="D8" i="1" l="1"/>
  <c r="B8" i="1"/>
  <c r="B9" i="1"/>
</calcChain>
</file>

<file path=xl/sharedStrings.xml><?xml version="1.0" encoding="utf-8"?>
<sst xmlns="http://schemas.openxmlformats.org/spreadsheetml/2006/main" count="92" uniqueCount="78">
  <si>
    <t xml:space="preserve">  WCC GESTÃƒO DE CUSTOS &amp; MEDIÃ‡Ã•ES - DASHBOARD EXECUTIVO</t>
  </si>
  <si>
    <t>SELECIONE A OBRA:</t>
  </si>
  <si>
    <t>TODAS</t>
  </si>
  <si>
    <t>Altere a obra acima para recalcular todos os indicadores e fÃ³rmulas automaticamente.</t>
  </si>
  <si>
    <t>INDICADORES FINANCEIROS GLOBAIS</t>
  </si>
  <si>
    <t>MEDIDAS DE LIQUIDAÃ‡ÃƒO &amp; FÃSICO</t>
  </si>
  <si>
    <t>DIVISÃƒO POR CATEGORIA &amp; CONTRATOS</t>
  </si>
  <si>
    <t>OrÃ§amento Base Total:</t>
  </si>
  <si>
    <t>Total Medido (FÃ­sico):</t>
  </si>
  <si>
    <t>Projetos TÃ©cnicos Contratado:</t>
  </si>
  <si>
    <t>Valor Total Contratado:</t>
  </si>
  <si>
    <t>Percentual Medido / Contratado:</t>
  </si>
  <si>
    <t>LegalizaÃ§Ã£o &amp; Taxas Contratado:</t>
  </si>
  <si>
    <t>Saldo Restante a Contratar:</t>
  </si>
  <si>
    <t>Saldo Restante a Medir:</t>
  </si>
  <si>
    <t>Contratos Ativos:</t>
  </si>
  <si>
    <t>% OrÃ§amento Contratado:</t>
  </si>
  <si>
    <t>Total Efetivamente Pago:</t>
  </si>
  <si>
    <t>Contratos Distratados:</t>
  </si>
  <si>
    <t>Mes</t>
  </si>
  <si>
    <t>MesFormatado</t>
  </si>
  <si>
    <t>PrevistoMensal</t>
  </si>
  <si>
    <t>RealizadoMensal</t>
  </si>
  <si>
    <t>TotalMes</t>
  </si>
  <si>
    <t>AcumuladoPrevisto</t>
  </si>
  <si>
    <t>AcumuladoRealizado</t>
  </si>
  <si>
    <t>25/01</t>
  </si>
  <si>
    <t>25/02</t>
  </si>
  <si>
    <t>Fev/25</t>
  </si>
  <si>
    <t>25/03</t>
  </si>
  <si>
    <t>25/04</t>
  </si>
  <si>
    <t>Abr/25</t>
  </si>
  <si>
    <t>25/05</t>
  </si>
  <si>
    <t>Mai/25</t>
  </si>
  <si>
    <t>Status</t>
  </si>
  <si>
    <t>Valor</t>
  </si>
  <si>
    <t>Pago</t>
  </si>
  <si>
    <t>A Pagar</t>
  </si>
  <si>
    <t>Medido</t>
  </si>
  <si>
    <t>A Medir</t>
  </si>
  <si>
    <t>Obra</t>
  </si>
  <si>
    <t>Nome Obra</t>
  </si>
  <si>
    <t>Categoria</t>
  </si>
  <si>
    <t>Disciplina</t>
  </si>
  <si>
    <t>Subdisciplina</t>
  </si>
  <si>
    <t>Orcamento Base</t>
  </si>
  <si>
    <t>Valor Contratado</t>
  </si>
  <si>
    <t>Saldo a Contratar</t>
  </si>
  <si>
    <t>Valor Medido</t>
  </si>
  <si>
    <t>Saldo Medicao</t>
  </si>
  <si>
    <t>ID</t>
  </si>
  <si>
    <t>Num Sienge</t>
  </si>
  <si>
    <t>Empresa / Fornecedor</t>
  </si>
  <si>
    <t>Valor Original</t>
  </si>
  <si>
    <t>Total Aditivos</t>
  </si>
  <si>
    <t>Valor Vigente</t>
  </si>
  <si>
    <t>Saldo a Medir</t>
  </si>
  <si>
    <t>% Medido</t>
  </si>
  <si>
    <t>Obs Distrato</t>
  </si>
  <si>
    <t>ID MediÃ§Ã£o</t>
  </si>
  <si>
    <t>Contrato ID</t>
  </si>
  <si>
    <t>Empresa</t>
  </si>
  <si>
    <t>Etapa</t>
  </si>
  <si>
    <t>% Etapa</t>
  </si>
  <si>
    <t>Valor MediÃ§Ã£o</t>
  </si>
  <si>
    <t>Data Prevista</t>
  </si>
  <si>
    <t>Data MediÃ§Ã£o</t>
  </si>
  <si>
    <t>MÃªs Comp</t>
  </si>
  <si>
    <t>NF</t>
  </si>
  <si>
    <t>Data Pagto</t>
  </si>
  <si>
    <t>Num Aditivo</t>
  </si>
  <si>
    <t>Data</t>
  </si>
  <si>
    <t>Tipo</t>
  </si>
  <si>
    <t>Valor Aditivo</t>
  </si>
  <si>
    <t>Novo Prazo</t>
  </si>
  <si>
    <t>Descricao</t>
  </si>
  <si>
    <t>Codigo Obra</t>
  </si>
  <si>
    <t>Todas as Obras Consolidadas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</si>
</sst>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.##000"/>
    <numFmt numFmtId="165" formatCode="#,#0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72B3B"/>
      <name val="Calibri"/>
      <family val="2"/>
      <scheme val="minor"/>
    </font>
    <font>
      <b/>
      <sz val="11"/>
      <color rgb="FF3B2B07"/>
      <name val="Calibri"/>
      <family val="2"/>
      <scheme val="minor"/>
    </font>
    <font>
      <i/>
      <sz val="9"/>
      <color rgb="FF88888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2B3B"/>
        <bgColor indexed="64"/>
      </patternFill>
    </fill>
    <fill>
      <patternFill patternType="solid">
        <fgColor rgb="FFE2F5F8"/>
        <bgColor indexed="64"/>
      </patternFill>
    </fill>
    <fill>
      <patternFill patternType="solid">
        <fgColor rgb="FF00A3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6" fillId="4" borderId="1" xfId="0" applyFont="1" applyFill="1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/>
    <xf numFmtId="164" fontId="0" fillId="0" borderId="1" xfId="0" applyNumberFormat="1" applyBorder="1"/>
    <xf numFmtId="165" fontId="0" fillId="0" borderId="1" xfId="0" applyNumberFormat="1" applyBorder="1"/>
    <xf numFmtId="165" fontId="1" fillId="0" borderId="1" xfId="0" applyNumberFormat="1" applyFont="1" applyBorder="1"/>
    <xf numFmtId="0" fontId="0" fillId="0" borderId="1" xfId="0" applyBorder="1" applyAlignment="1">
      <alignment horizontal="center"/>
    </xf>
    <xf numFmtId="0" fontId="7" fillId="4" borderId="0" xfId="0" applyFont="1" applyFill="1"/>
    <xf numFmtId="16" fontId="0" fillId="0" borderId="0" xfId="0" applyNumberFormat="1"/>
    <xf numFmtId="0" fontId="7" fillId="2" borderId="0" xfId="0" applyFont="1" applyFill="1"/>
    <xf numFmtId="164" fontId="7" fillId="4" borderId="0" xfId="0" applyNumberFormat="1" applyFont="1" applyFill="1"/>
    <xf numFmtId="165" fontId="7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US"/>
              <a:t>Curva S de Desembolso Financeiro (Previsto x Realizado)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Realizado Mensal (Pago)</c:v>
          </c:tx>
          <c:spPr>
            <a:solidFill>
              <a:srgbClr val="00A3C4"/>
            </a:solidFill>
            <a:ln>
              <a:solidFill>
                <a:srgbClr val="008EA9"/>
              </a:solidFill>
            </a:ln>
          </c:spPr>
          <c:cat>
            <c:strRef>
              <c:f>tbCurvaS!$B$2:$B$50</c:f>
            </c:strRef>
          </c:cat>
          <c:val>
            <c:numRef>
              <c:f>tbCurvaS!$D$2:$D$50</c:f>
              <c:numCache>
                <c:formatCode>"R$" #.##000</c:formatCode>
              </c:numCache>
            </c:numRef>
          </c:val>
        </c:ser>
        <c:ser>
          <c:idx val="1"/>
          <c:order val="1"/>
          <c:tx>
            <c:v>Previsto Mensal (A Pagar)</c:v>
          </c:tx>
          <c:spPr>
            <a:solidFill>
              <a:srgbClr val="F59E0B"/>
            </a:solidFill>
            <a:ln>
              <a:solidFill>
                <a:srgbClr val="D97706"/>
              </a:solidFill>
            </a:ln>
          </c:spPr>
          <c:cat>
            <c:strRef>
              <c:f>tbCurvaS!$B$2:$B$50</c:f>
            </c:strRef>
          </c:cat>
          <c:val>
            <c:numRef>
              <c:f>tbCurvaS!$C$2:$C$50</c:f>
              <c:numCache>
                <c:formatCode>"R$" #.##000</c:formatCode>
              </c:numCache>
            </c:numRef>
          </c:val>
        </c:ser>
        <c:gapWidth val="150"/>
        <c:overlap val="-30"/>
        <c:axId val="38496464"/>
        <c:axId val="38500624"/>
      </c:barChart>
      <c:lineChart>
        <c:grouping val="standard"/>
        <c:varyColors val="0"/>
        <c:ser>
          <c:idx val="2"/>
          <c:order val="2"/>
          <c:tx>
            <c:v>Curva S Acumulada Total</c:v>
          </c:tx>
          <c:spPr>
            <a:ln w="28000">
              <a:solidFill>
                <a:srgbClr val="0284C7"/>
              </a:solidFill>
            </a:ln>
          </c:spPr>
          <c:marker>
            <c:symbol val="circle"/>
            <c:size val="5"/>
            <c:spPr>
              <a:solidFill>
                <a:srgbClr val="0284C7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tbCurvaS!$B$2:$B$50</c:f>
            </c:strRef>
          </c:cat>
          <c:val>
            <c:numRef>
              <c:f>tbCurvaS!$H$2:$H$50</c:f>
              <c:numCache>
                <c:formatCode>"R$" #.##000</c:formatCode>
              </c:numCache>
            </c:numRef>
          </c:val>
          <c:smooth val="0"/>
        </c:ser>
        <c:axId val="38496464"/>
        <c:axId val="38500624"/>
      </c:lineChart>
      <c:catAx>
        <c:axId val="3849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500624"/>
        <c:crosses val="autoZero"/>
        <c:auto val="1"/>
        <c:lblAlgn val="ctr"/>
        <c:lblOffset val="100"/>
        <c:noMultiLvlLbl val="0"/>
      </c:catAx>
      <c:valAx>
        <c:axId val="38500624"/>
        <c:scaling>
          <c:orientation val="minMax"/>
        </c:scaling>
        <c:delete val="0"/>
        <c:axPos val="l"/>
        <c:majorGridlines/>
        <c:numFmt formatCode="&quot;R$&quot; #.##000" sourceLinked="1"/>
        <c:majorTickMark val="out"/>
        <c:minorTickMark val="none"/>
        <c:tickLblPos val="nextTo"/>
        <c:crossAx val="38496464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US"/>
              <a:t>Distribuição de Medições por Status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Status Medições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6366F1"/>
              </a:solidFill>
            </c:spPr>
          </c:dPt>
          <c:dPt>
            <c:idx val="2"/>
            <c:spPr>
              <a:solidFill>
                <a:srgbClr val="00A3C4"/>
              </a:solidFill>
            </c:spPr>
          </c:dPt>
          <c:dPt>
            <c:idx val="3"/>
            <c:spPr>
              <a:solidFill>
                <a:srgbClr val="F59E0B"/>
              </a:solidFill>
            </c:spPr>
          </c:dPt>
          <c:cat>
            <c:strRef>
              <c:f>Dashboard_Resumo!$F$13:$F$16</c:f>
              <c:strCache>
                <c:ptCount val="4"/>
                <c:pt idx="0">
                  <c:v>Pago</c:v>
                </c:pt>
                <c:pt idx="1">
                  <c:v>A Pagar</c:v>
                </c:pt>
                <c:pt idx="2">
                  <c:v>Medido</c:v>
                </c:pt>
                <c:pt idx="3">
                  <c:v>A Medir</c:v>
                </c:pt>
              </c:strCache>
            </c:strRef>
          </c:cat>
          <c:val>
            <c:numRef>
              <c:f>Dashboard_Resumo!$G$13:$G$16</c:f>
              <c:numCache>
                <c:formatCode>"R$" #.##000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dLbls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separator> - </c:separator>
          </c:dLbls>
        </c:ser>
      </c:pie3DChart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11</xdr:row>
      <xdr:rowOff>180340</xdr:rowOff>
    </xdr:from>
    <xdr:to>
      <xdr:col>4</xdr:col>
      <xdr:colOff>167640</xdr:colOff>
      <xdr:row>30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963074-372C-456D-8585-95A5A7574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93980</xdr:colOff>
      <xdr:row>11</xdr:row>
      <xdr:rowOff>180340</xdr:rowOff>
    </xdr:from>
    <xdr:to>
      <xdr:col>9</xdr:col>
      <xdr:colOff>48260</xdr:colOff>
      <xdr:row>30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828F55-6AF0-4353-9B4A-BF7D80294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348390F-1F62-4676-ACAE-99F3E643BAC3}"><dimension ref="A1:G16"/><sheetViews><sheetView tabSelected="1" workbookViewId="0"><selection sqref="A1:G1"/></sheetView></sheetViews><sheetFormatPr defaultRowHeight="14.4" x14ac:dyDescent="0.3"/><cols><col min="1" max="1" width="28.77734375" customWidth="1"/><col min="2" max="2" width="22.77734375" customWidth="1"/><col min="3" max="3" width="28.77734375" customWidth="1"/><col min="4" max="4" width="22.77734375" customWidth="1"/><col min="5" max="5" width="4.77734375" customWidth="1"/><col min="6" max="6" width="26.77734375" customWidth="1"/><col min="7" max="7" width="22.77734375" customWidth="1"/></cols><sheetData><row r="1" spans="1:7" ht="31.95" customHeight="1" x14ac:dyDescent="0.3"><c r="A1" s="1" t="s"><v>0</v></c><c r="B1" s="1"/><c r="C1" s="1"/><c r="D1" s="1"/><c r="E1" s="1"/><c r="F1" s="1"/><c r="G1" s="1"/></row><row r="3" spans="1:7" x14ac:dyDescent="0.3"><c r="A3" s="2" t="inlineStr"><is><t>SELECIONE A OBRA:</t></is></c><c r="B3" s="3" t="inlineStr"><is><t>TODAS</t></is></c><c r="C3" s="2" t="inlineStr"><is><t>CATEGORIA:</t></is></c><c r="D3" s="3" t="inlineStr"><is><t>TODAS</t></is></c><c r="F3" s="4" t="inlineStr"><is><t>Selecione acima para filtrar o dashboard.</t></is></c></row><row r="5" spans="1:7" x14ac:dyDescent="0.3"><c r="A5" s="7" t="s"><v>4</v></c><c r="B5" s="7"/><c r="C5" s="7" t="s"><v>5</v></c><c r="D5" s="7"/><c r="F5" s="7" t="s"><v>6</v></c><c r="G5" s="7"/></row><row r="6" spans="1:7" x14ac:dyDescent="0.3"><c r="A6" s="8" t="s"><v>7</v></c><c r="B6" s="9"><f>IF(OR($B$3="TODAS",$B$3="TODOS",$B$3="Todas as Obras",$B$3=""),IF(OR($D$3="TODAS",$D$3="TODOS",$D$3="Os dois",$D$3=""),SUM(tbOrcamentoBase!F:F),SUMIFS(tbOrcamentoBase!F:F,tbOrcamentoBase!C:C,$D$3)),IF(OR($D$3="TODAS",$D$3="TODOS",$D$3="Os dois",$D$3=""),SUMIFS(tbOrcamentoBase!F:F,tbOrcamentoBase!A:A,$B$3),SUMIFS(tbOrcamentoBase!F:F,tbOrcamentoBase!A:A,$B$3,tbOrcamentoBase!C:C,$D$3)))</f><v>0</v></c><c r="C6" s="8" t="s"><v>8</v></c><c r="D6" s="9"><f>IF(OR($B$3="TODAS",$B$3="TODOS",$B$3="Todas as Obras",$B$3=""),IF(OR($D$3="TODAS",$D$3="TODOS",$D$3="Os dois",$D$3=""),SUM(tbMedicoes!G:G),SUMIFS(tbMedicoes!G:G,tbMedicoes!N:N,$D$3)),IF(OR($D$3="TODAS",$D$3="TODOS",$D$3="Os dois",$D$3=""),SUMIFS(tbMedicoes!G:G,tbMedicoes!D:D,$B$3),SUMIFS(tbMedicoes!G:G,tbMedicoes!D:D,$B$3,tbMedicoes!N:N,$D$3)))</f><v>0</v></c><c r="F6" s="8" t="s"><v>9</v></c><c r="G6" s="9"><f>IF(OR($B$3="TODAS",$B$3="TODOS",$B$3="Todas as Obras",$B$3=""),SUMIFS(tbContratos!K:K,tbContratos!C:C,"Projeto",tbContratos!B:B,"&lt;&gt;Distratado"),SUMIFS(tbContratos!K:K,tbContratos!F:F,$B$3,tbContratos!C:C,"Projeto",tbContratos!B:B,"&lt;&gt;Distratado"))</f><v>0</v></c></row><row r="7" spans="1:7" x14ac:dyDescent="0.3"><c r="A7" s="8" t="s"><v>10</v></c><c r="B7" s="9"><f>IF(OR($B$3="TODAS",$B$3="TODOS",$B$3="Todas as Obras",$B$3=""),IF(OR($D$3="TODAS",$D$3="TODOS",$D$3="Os dois",$D$3=""),SUMIFS(tbContratos!K:K,tbContratos!B:B,"&lt;&gt;Distratado"),SUMIFS(tbContratos!K:K,tbContratos!C:C,$D$3,tbContratos!B:B,"&lt;&gt;Distratado")),IF(OR($D$3="TODAS",$D$3="TODOS",$D$3="Os dois",$D$3=""),SUMIFS(tbContratos!K:K,tbContratos!F:F,$B$3,tbContratos!B:B,"&lt;&gt;Distratado"),SUMIFS(tbContratos!K:K,tbContratos!F:F,$B$3,tbContratos!C:C,$D$3,tbContratos!B:B,"&lt;&gt;Distratado")))</f><v>0</v></c><c r="C7" s="8" t="s"><v>11</v></c><c r="D7" s="12"><f>IF(B7&gt;0,D6/B7,0)</f><v>0</v></c><c r="F7" s="8" t="s"><v>12</v></c><c r="G7" s="9"><f>IF(OR($B$3="TODAS",$B$3="TODOS",$B$3="Todas as Obras",$B$3=""),SUMIFS(tbContratos!K:K,tbContratos!C:C,"LegalizaÃ§Ã£o",tbContratos!B:B,"&lt;&gt;Distratado"),SUMIFS(tbContratos!K:K,tbContratos!F:F,$B$3,tbContratos!C:C,"LegalizaÃ§Ã£o",tbContratos!B:B,"&lt;&gt;Distratado"))</f><v>0</v></c></row><row r="8" spans="1:7" x14ac:dyDescent="0.3"><c r="A8" s="8" t="s"><v>13</v></c><c r="B8" s="10"><f>B6-B7</f><v>0</v></c><c r="C8" s="8" t="s"><v>14</v></c><c r="D8" s="10"><f>B7-D6</f><v>0</v></c><c r="F8" s="8" t="s"><v>15</v></c><c r="G8" s="13"><f>IF(OR($B$3="TODAS",$B$3="TODOS",$B$3="Todas as Obras",$B$3=""),IF(OR($D$3="TODAS",$D$3="TODOS",$D$3="Os dois",$D$3=""),COUNTIFS(tbContratos!A:A,"?*",tbContratos!B:B,"&lt;&gt;Distratado")-1,COUNTIFS(tbContratos!A:A,"?*",tbContratos!C:C,$D$3,tbContratos!B:B,"&lt;&gt;Distratado")),IF(OR($D$3="TODAS",$D$3="TODOS",$D$3="Os dois",$D$3=""),COUNTIFS(tbContratos!A:A,"?*",tbContratos!F:F,$B$3,tbContratos!B:B,"&lt;&gt;Distratado"),COUNTIFS(tbContratos!A:A,"?*",tbContratos!F:F,$B$3,tbContratos!C:C,$D$3,tbContratos!B:B,"&lt;&gt;Distratado")))</f><v>1048575</v></c></row><row r="9" spans="1:7" x14ac:dyDescent="0.3"><c r="A9" s="8" t="s"><v>16</v></c><c r="B9" s="11"><f>IF(B6&gt;0,B7/B6,0)</f><v>0</v></c><c r="C9" s="8" t="s"><v>17</v></c><c r="D9" s="10"><f>IF(OR($B$3="TODAS",$B$3="TODOS",$B$3="Todas as Obras",$B$3=""),IF(OR($D$3="TODAS",$D$3="TODOS",$D$3="Os dois",$D$3=""),SUMIFS(tbMedicoes!G:G,tbMedicoes!K:K,"Pago"),SUMIFS(tbMedicoes!G:G,tbMedicoes!K:K,"Pago",tbMedicoes!N:N,$D$3)),IF(OR($D$3="TODAS",$D$3="TODOS",$D$3="Os dois",$D$3=""),SUMIFS(tbMedicoes!G:G,tbMedicoes!D:D,$B$3,tbMedicoes!K:K,"Pago"),SUMIFS(tbMedicoes!G:G,tbMedicoes!D:D,$B$3,tbMedicoes!K:K,"Pago",tbMedicoes!N:N,$D$3)))</f><v>0</v></c><c r="F9" s="8" t="s"><v>18</v></c><c r="G9" s="13"><f>IF(OR($B$3="TODAS",$B$3="TODOS",$B$3="Todas as Obras",$B$3=""),IF(OR($D$3="TODAS",$D$3="TODOS",$D$3="Os dois",$D$3=""),COUNTIFS(tbContratos!B:B,"Distratado"),COUNTIFS(tbContratos!C:C,$D$3,tbContratos!B:B,"Distratado")),IF(OR($D$3="TODAS",$D$3="TODOS",$D$3="Os dois",$D$3=""),COUNTIFS(tbContratos!F:F,$B$3,tbContratos!B:B,"Distratado"),COUNTIFS(tbContratos!F:F,$B$3,tbContratos!C:C,$D$3,tbContratos!B:B,"Distratado")))</f><v>0</v></c></row><row r="12" spans="1:7" x14ac:dyDescent="0.3"><c r="F12" s="16" t="s"><v>34</v></c><c r="G12" s="16" t="s"><v>35</v></c></row><row r="13" spans="1:7" x14ac:dyDescent="0.3"><c r="F13" t="s"><v>36</v></c><c r="G13" s="5"><f>IF(OR($B$3="TODAS",$B$3="TODOS",$B$3="Todas as Obras",$B$3=""),IF(OR($D$3="TODAS",$D$3="TODOS",$D$3="Os dois",$D$3=""),SUMIFS(tbMedicoes!G:G,tbMedicoes!K:K,"Pago"),SUMIFS(tbMedicoes!G:G,tbMedicoes!K:K,"Pago",tbMedicoes!N:N,$D$3)),IF(OR($D$3="TODAS",$D$3="TODOS",$D$3="Os dois",$D$3=""),SUMIFS(tbMedicoes!G:G,tbMedicoes!D:D,$B$3,tbMedicoes!K:K,"Pago"),SUMIFS(tbMedicoes!G:G,tbMedicoes!D:D,$B$3,tbMedicoes!K:K,"Pago",tbMedicoes!N:N,$D$3)))</f><v>0</v></c></row><row r="14" spans="1:7" x14ac:dyDescent="0.3"><c r="F14" t="s"><v>37</v></c><c r="G14" s="5"><f>IF(OR($B$3="TODAS",$B$3="TODOS",$B$3="Todas as Obras",$B$3=""),IF(OR($D$3="TODAS",$D$3="TODOS",$D$3="Os dois",$D$3=""),SUMIFS(tbMedicoes!G:G,tbMedicoes!K:K,"A Pagar"),SUMIFS(tbMedicoes!G:G,tbMedicoes!K:K,"A Pagar",tbMedicoes!N:N,$D$3)),IF(OR($D$3="TODAS",$D$3="TODOS",$D$3="Os dois",$D$3=""),SUMIFS(tbMedicoes!G:G,tbMedicoes!D:D,$B$3,tbMedicoes!K:K,"A Pagar"),SUMIFS(tbMedicoes!G:G,tbMedicoes!D:D,$B$3,tbMedicoes!K:K,"A Pagar",tbMedicoes!N:N,$D$3)))</f><v>0</v></c></row><row r="15" spans="1:7" x14ac:dyDescent="0.3"><c r="F15" t="s"><v>38</v></c><c r="G15" s="5"><f>IF(OR($B$3="TODAS",$B$3="TODOS",$B$3="Todas as Obras",$B$3=""),IF(OR($D$3="TODAS",$D$3="TODOS",$D$3="Os dois",$D$3=""),SUMIFS(tbMedicoes!G:G,tbMedicoes!K:K,"Medido"),SUMIFS(tbMedicoes!G:G,tbMedicoes!K:K,"Medido",tbMedicoes!N:N,$D$3)),IF(OR($D$3="TODAS",$D$3="TODOS",$D$3="Os dois",$D$3=""),SUMIFS(tbMedicoes!G:G,tbMedicoes!D:D,$B$3,tbMedicoes!K:K,"Medido"),SUMIFS(tbMedicoes!G:G,tbMedicoes!D:D,$B$3,tbMedicoes!K:K,"Medido",tbMedicoes!N:N,$D$3)))</f><v>0</v></c></row><row r="16" spans="1:7" x14ac:dyDescent="0.3"><c r="F16" t="s"><v>39</v></c><c r="G16" s="5"><f>IF(OR($B$3="TODAS",$B$3="TODOS",$B$3="Todas as Obras",$B$3=""),IF(OR($D$3="TODAS",$D$3="TODOS",$D$3="Os dois",$D$3=""),SUMIFS(tbMedicoes!G:G,tbMedicoes!K:K,"A Medir"),SUMIFS(tbMedicoes!G:G,tbMedicoes!K:K,"A Medir",tbMedicoes!N:N,$D$3)),IF(OR($D$3="TODAS",$D$3="TODOS",$D$3="Os dois",$D$3=""),SUMIFS(tbMedicoes!G:G,tbMedicoes!D:D,$B$3,tbMedicoes!K:K,"A Medir"),SUMIFS(tbMedicoes!G:G,tbMedicoes!D:D,$B$3,tbMedicoes!K:K,"A Medir",tbMedicoes!N:N,$D$3)))</f><v>0</v></c></row></sheetData><mergeCells count="4"><mergeCell ref="A1:G1"/><mergeCell ref="A5:B5"/><mergeCell ref="C5:D5"/><mergeCell ref="F5:G5"/></mergeCells><dataValidations count="2"><dataValidation type="list" allowBlank="1" showInputMessage="1" showErrorMessage="1" sqref="B3"><formula1>tbObras!$A$2:$A<pageMargins00</formula1></dataValidation><dataValidation type="list" allowBlank="1" showInputMessage="1" showErrorMessage="1" sqref="D3"><formula1>&quot;TODAS,Projeto,Legalização&quot;</formula1></dataValidation></dataValidations><pageMargins left="0.511811024" right="0.511811024" top="0.78740157499999996" bottom="0.78740157499999996" header="0.31496062000000002" footer="0.31496062000000002"/><pageSetup paperSize="9" orientation="portrait" r:id="rId1"/><drawing r:id="rId2"/><extLst><ext uri="{CCE6A557-97BC-4b89-ADB6-D9C93CAAB3DF}" xmlns:x14="http://schemas.microsoft.com/office/spreadsheetml/2009/9/main"><x14:dataValidations count="2" xmlns:xm="http://schemas.microsoft.com/office/excel/2006/main"><x14:dataValidation type="list" allowBlank="1" showInputMessage="1" showErrorMessage="1" xr:uid="{81B7C192-ED6A-4F96-8521-0C264166D024}"><x14:formula1><xm:f>tbObras!$A$2:$A$100</xm:f></x14:formula1><xm:sqref>B3</xm:sqref></x14:dataValidation><x14:dataValidation type="list" allowBlank="1" showInputMessage="1" showErrorMessage="1" xr:uid="{81B7C192-ED6A-4F96-8521-0C264166D025}"><x14:formula1><xm:f>&quot;TODAS,Projeto,Legalização&quot;</xm:f></x14:formula1><xm:sqref>D3</xm:sqref></x14:dataValidation></x14:dataValidations></ext></extLst>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F390-8A03-4D75-A220-EF4070AFA5CE}">
  <dimension ref="A1:K1"/>
  <sheetViews>
    <sheetView workbookViewId="0"/>
  </sheetViews>
  <sheetFormatPr defaultRowHeight="14.4" x14ac:dyDescent="0.3"/>
  <cols>
    <col min="6" max="10" width="8.88671875" style="5"/>
  </cols>
  <sheetData>
    <row r="1" spans="1:11" ht="24" customHeight="1" x14ac:dyDescent="0.3">
      <c r="A1" s="14" t="s">
        <v>40</v>
      </c>
      <c r="B1" s="14" t="s">
        <v>41</v>
      </c>
      <c r="C1" s="14" t="s">
        <v>42</v>
      </c>
      <c r="D1" s="14" t="s">
        <v>43</v>
      </c>
      <c r="E1" s="14" t="s">
        <v>44</v>
      </c>
      <c r="F1" s="17" t="s">
        <v>45</v>
      </c>
      <c r="G1" s="17" t="s">
        <v>46</v>
      </c>
      <c r="H1" s="17" t="s">
        <v>47</v>
      </c>
      <c r="I1" s="17" t="s">
        <v>48</v>
      </c>
      <c r="J1" s="17" t="s">
        <v>49</v>
      </c>
      <c r="K1" s="14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9B6D-CF3F-4B65-AA84-0943351EA976}">
  <dimension ref="A1:O1"/>
  <sheetViews>
    <sheetView workbookViewId="0"/>
  </sheetViews>
  <sheetFormatPr defaultRowHeight="14.4" x14ac:dyDescent="0.3"/>
  <cols>
    <col min="9" max="13" width="8.88671875" style="5"/>
    <col min="14" max="14" width="8.88671875" style="6"/>
  </cols>
  <sheetData>
    <row r="1" spans="1:15" ht="24" customHeight="1" x14ac:dyDescent="0.3">
      <c r="A1" s="14" t="s">
        <v>50</v>
      </c>
      <c r="B1" s="14" t="s">
        <v>34</v>
      </c>
      <c r="C1" s="14" t="s">
        <v>42</v>
      </c>
      <c r="D1" s="14" t="s">
        <v>51</v>
      </c>
      <c r="E1" s="14" t="s">
        <v>52</v>
      </c>
      <c r="F1" s="14" t="s">
        <v>40</v>
      </c>
      <c r="G1" s="14" t="s">
        <v>43</v>
      </c>
      <c r="H1" s="14" t="s">
        <v>44</v>
      </c>
      <c r="I1" s="17" t="s">
        <v>53</v>
      </c>
      <c r="J1" s="17" t="s">
        <v>54</v>
      </c>
      <c r="K1" s="17" t="s">
        <v>55</v>
      </c>
      <c r="L1" s="17" t="s">
        <v>48</v>
      </c>
      <c r="M1" s="17" t="s">
        <v>56</v>
      </c>
      <c r="N1" s="18" t="s">
        <v>57</v>
      </c>
      <c r="O1" s="14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7C7D-D25E-44C8-80BF-1E88B4BA2C41}">
  <dimension ref="A1:M1"/>
  <sheetViews>
    <sheetView workbookViewId="0"/>
  </sheetViews>
  <sheetFormatPr defaultRowHeight="14.4" x14ac:dyDescent="0.3"/>
  <cols>
    <col min="6" max="6" width="8.88671875" style="6"/>
    <col min="7" max="7" width="8.88671875" style="5"/>
  </cols>
  <sheetData>
    <row r="1" spans="1:14" ht="24" customHeight="1" x14ac:dyDescent="0.3">
      <c r="A1" s="14" t="s">
        <v>59</v>
      </c>
      <c r="B1" s="14" t="s">
        <v>60</v>
      </c>
      <c r="C1" s="14" t="s">
        <v>61</v>
      </c>
      <c r="D1" s="14" t="s">
        <v>40</v>
      </c>
      <c r="E1" s="14" t="s">
        <v>62</v>
      </c>
      <c r="F1" s="18" t="s">
        <v>63</v>
      </c>
      <c r="G1" s="17" t="s">
        <v>64</v>
      </c>
      <c r="H1" s="14" t="s">
        <v>65</v>
      </c>
      <c r="I1" s="14" t="s">
        <v>66</v>
      </c>
      <c r="J1" s="14" t="s">
        <v>67</v>
      </c>
      <c r="K1" s="14" t="s">
        <v>34</v>
      </c>
      <c r="L1" s="14" t="s">
        <v>68</v>
      </c>
      <c r="M1" s="14" t="s">
        <v>69</v>
      </c>
      <c r="N1" s="14" t="inlineStr">
        <is>
          <t>Categoria</t>
        </is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94E3-BD6E-470B-844E-1A766F691476}">
  <dimension ref="A1:I1"/>
  <sheetViews>
    <sheetView workbookViewId="0"/>
  </sheetViews>
  <sheetFormatPr defaultRowHeight="14.4" x14ac:dyDescent="0.3"/>
  <cols>
    <col min="7" max="7" width="8.88671875" style="5"/>
  </cols>
  <sheetData>
    <row r="1" spans="1:9" ht="24" customHeight="1" x14ac:dyDescent="0.3">
      <c r="A1" s="14" t="s">
        <v>60</v>
      </c>
      <c r="B1" s="14" t="s">
        <v>61</v>
      </c>
      <c r="C1" s="14" t="s">
        <v>40</v>
      </c>
      <c r="D1" s="14" t="s">
        <v>70</v>
      </c>
      <c r="E1" s="14" t="s">
        <v>71</v>
      </c>
      <c r="F1" s="14" t="s">
        <v>72</v>
      </c>
      <c r="G1" s="17" t="s">
        <v>73</v>
      </c>
      <c r="H1" s="14" t="s">
        <v>74</v>
      </c>
      <c r="I1" s="14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29BC-3676-4C15-93C8-D26C0BE85C81}">
  <dimension ref="A1:G30"/>
  <sheetViews>
    <sheetView workbookViewId="0"/>
  </sheetViews>
  <sheetFormatPr defaultRowHeight="14.4" x14ac:dyDescent="0.3"/>
  <cols>
    <col min="3" max="7" width="13.109375" bestFit="1" customWidth="1"/>
  </cols>
  <sheetData>
    <row r="1" spans="1:8" x14ac:dyDescent="0.3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inlineStr">
        <is>
          <t>Acumulado Total</t>
        </is>
      </c>
    </row>
    <row r="2" spans="1:7" x14ac:dyDescent="0.3">
      <c r="A2" t="s">
        <v>26</v>
      </c>
      <c r="B2" s="15">
        <v>46047</v>
      </c>
      <c r="C2" s="5">
        <v>50000</v>
      </c>
      <c r="D2" s="5">
        <v>45000</v>
      </c>
      <c r="E2" s="5">
        <v>95000</v>
      </c>
      <c r="F2" s="5">
        <v>50000</v>
      </c>
      <c r="G2" s="5">
        <v>45000</v>
      </c>
    </row>
    <row r="3" spans="1:7" x14ac:dyDescent="0.3">
      <c r="A3" t="s">
        <v>27</v>
      </c>
      <c r="B3" t="s">
        <v>28</v>
      </c>
      <c r="C3" s="5">
        <v>80000</v>
      </c>
      <c r="D3" s="5">
        <v>75000</v>
      </c>
      <c r="E3" s="5">
        <v>155000</v>
      </c>
      <c r="F3" s="5">
        <v>130000</v>
      </c>
      <c r="G3" s="5">
        <v>120000</v>
      </c>
    </row>
    <row r="4" spans="1:7" x14ac:dyDescent="0.3">
      <c r="A4" t="s">
        <v>29</v>
      </c>
      <c r="B4" s="15">
        <v>46106</v>
      </c>
      <c r="C4" s="5">
        <v>120000</v>
      </c>
      <c r="D4" s="5">
        <v>110000</v>
      </c>
      <c r="E4" s="5">
        <v>230000</v>
      </c>
      <c r="F4" s="5">
        <v>250000</v>
      </c>
      <c r="G4" s="5">
        <v>230000</v>
      </c>
    </row>
    <row r="5" spans="1:7" x14ac:dyDescent="0.3">
      <c r="A5" t="s">
        <v>30</v>
      </c>
      <c r="B5" t="s">
        <v>31</v>
      </c>
      <c r="C5" s="5">
        <v>150000</v>
      </c>
      <c r="D5" s="5">
        <v>140000</v>
      </c>
      <c r="E5" s="5">
        <v>290000</v>
      </c>
      <c r="F5" s="5">
        <v>400000</v>
      </c>
      <c r="G5" s="5">
        <v>370000</v>
      </c>
    </row>
    <row r="6" spans="1:7" x14ac:dyDescent="0.3">
      <c r="A6" t="s">
        <v>32</v>
      </c>
      <c r="B6" t="s">
        <v>33</v>
      </c>
      <c r="C6" s="5">
        <v>100000</v>
      </c>
      <c r="D6" s="5">
        <v>90000</v>
      </c>
      <c r="E6" s="5">
        <v>190000</v>
      </c>
      <c r="F6" s="5">
        <v>500000</v>
      </c>
      <c r="G6" s="5">
        <v>460000</v>
      </c>
    </row>
    <row r="7" spans="1:7" x14ac:dyDescent="0.3">
      <c r="C7" s="5"/>
      <c r="D7" s="5"/>
      <c r="E7" s="5"/>
      <c r="F7" s="5"/>
      <c r="G7" s="5"/>
    </row>
    <row r="8" spans="1:7" x14ac:dyDescent="0.3">
      <c r="C8" s="5"/>
      <c r="D8" s="5"/>
      <c r="E8" s="5"/>
      <c r="F8" s="5"/>
      <c r="G8" s="5"/>
    </row>
    <row r="9" spans="1:7" x14ac:dyDescent="0.3">
      <c r="C9" s="5"/>
      <c r="D9" s="5"/>
      <c r="E9" s="5"/>
      <c r="F9" s="5"/>
      <c r="G9" s="5"/>
    </row>
    <row r="10" spans="1:7" x14ac:dyDescent="0.3">
      <c r="C10" s="5"/>
      <c r="D10" s="5"/>
      <c r="E10" s="5"/>
      <c r="F10" s="5"/>
      <c r="G10" s="5"/>
    </row>
    <row r="11" spans="1:7" x14ac:dyDescent="0.3">
      <c r="C11" s="5"/>
      <c r="D11" s="5"/>
      <c r="E11" s="5"/>
      <c r="F11" s="5"/>
      <c r="G11" s="5"/>
    </row>
    <row r="12" spans="1:7" x14ac:dyDescent="0.3">
      <c r="C12" s="5"/>
      <c r="D12" s="5"/>
      <c r="E12" s="5"/>
      <c r="F12" s="5"/>
      <c r="G12" s="5"/>
    </row>
    <row r="13" spans="1:7" x14ac:dyDescent="0.3">
      <c r="C13" s="5"/>
      <c r="D13" s="5"/>
      <c r="E13" s="5"/>
      <c r="F13" s="5"/>
      <c r="G13" s="5"/>
    </row>
    <row r="14" spans="1:7" x14ac:dyDescent="0.3">
      <c r="C14" s="5"/>
      <c r="D14" s="5"/>
      <c r="E14" s="5"/>
      <c r="F14" s="5"/>
      <c r="G14" s="5"/>
    </row>
    <row r="15" spans="1:7" x14ac:dyDescent="0.3">
      <c r="C15" s="5"/>
      <c r="D15" s="5"/>
      <c r="E15" s="5"/>
      <c r="F15" s="5"/>
      <c r="G15" s="5"/>
    </row>
    <row r="16" spans="1:7" x14ac:dyDescent="0.3">
      <c r="C16" s="5"/>
      <c r="D16" s="5"/>
      <c r="E16" s="5"/>
      <c r="F16" s="5"/>
      <c r="G16" s="5"/>
    </row>
    <row r="17" spans="3:7" x14ac:dyDescent="0.3">
      <c r="C17" s="5"/>
      <c r="D17" s="5"/>
      <c r="E17" s="5"/>
      <c r="F17" s="5"/>
      <c r="G17" s="5"/>
    </row>
    <row r="18" spans="3:7" x14ac:dyDescent="0.3">
      <c r="C18" s="5"/>
      <c r="D18" s="5"/>
      <c r="E18" s="5"/>
      <c r="F18" s="5"/>
      <c r="G18" s="5"/>
    </row>
    <row r="19" spans="3:7" x14ac:dyDescent="0.3">
      <c r="C19" s="5"/>
      <c r="D19" s="5"/>
      <c r="E19" s="5"/>
      <c r="F19" s="5"/>
      <c r="G19" s="5"/>
    </row>
    <row r="20" spans="3:7" x14ac:dyDescent="0.3">
      <c r="C20" s="5"/>
      <c r="D20" s="5"/>
      <c r="E20" s="5"/>
      <c r="F20" s="5"/>
      <c r="G20" s="5"/>
    </row>
    <row r="21" spans="3:7" x14ac:dyDescent="0.3">
      <c r="C21" s="5"/>
      <c r="D21" s="5"/>
      <c r="E21" s="5"/>
      <c r="F21" s="5"/>
      <c r="G21" s="5"/>
    </row>
    <row r="22" spans="3:7" x14ac:dyDescent="0.3">
      <c r="C22" s="5"/>
      <c r="D22" s="5"/>
      <c r="E22" s="5"/>
      <c r="F22" s="5"/>
      <c r="G22" s="5"/>
    </row>
    <row r="23" spans="3:7" x14ac:dyDescent="0.3">
      <c r="C23" s="5"/>
      <c r="D23" s="5"/>
      <c r="E23" s="5"/>
      <c r="F23" s="5"/>
      <c r="G23" s="5"/>
    </row>
    <row r="24" spans="3:7" x14ac:dyDescent="0.3">
      <c r="C24" s="5"/>
      <c r="D24" s="5"/>
      <c r="E24" s="5"/>
      <c r="F24" s="5"/>
      <c r="G24" s="5"/>
    </row>
    <row r="25" spans="3:7" x14ac:dyDescent="0.3">
      <c r="C25" s="5"/>
      <c r="D25" s="5"/>
      <c r="E25" s="5"/>
      <c r="F25" s="5"/>
      <c r="G25" s="5"/>
    </row>
    <row r="26" spans="3:7" x14ac:dyDescent="0.3">
      <c r="C26" s="5"/>
      <c r="D26" s="5"/>
      <c r="E26" s="5"/>
      <c r="F26" s="5"/>
      <c r="G26" s="5"/>
    </row>
    <row r="27" spans="3:7" x14ac:dyDescent="0.3">
      <c r="C27" s="5"/>
      <c r="D27" s="5"/>
      <c r="E27" s="5"/>
      <c r="F27" s="5"/>
      <c r="G27" s="5"/>
    </row>
    <row r="28" spans="3:7" x14ac:dyDescent="0.3">
      <c r="C28" s="5"/>
      <c r="D28" s="5"/>
      <c r="E28" s="5"/>
      <c r="F28" s="5"/>
      <c r="G28" s="5"/>
    </row>
    <row r="29" spans="3:7" x14ac:dyDescent="0.3">
      <c r="C29" s="5"/>
      <c r="D29" s="5"/>
      <c r="E29" s="5"/>
      <c r="F29" s="5"/>
      <c r="G29" s="5"/>
    </row>
    <row r="30" spans="3:7" x14ac:dyDescent="0.3">
      <c r="C30" s="5"/>
      <c r="D30" s="5"/>
      <c r="E30" s="5"/>
      <c r="F30" s="5"/>
      <c r="G30" s="5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B10-3AC3-4295-8201-BC7A21DA9301}">
  <dimension ref="A1:B2"/>
  <sheetViews>
    <sheetView workbookViewId="0"/>
  </sheetViews>
  <sheetFormatPr defaultRowHeight="14.4" x14ac:dyDescent="0.3"/>
  <sheetData>
    <row r="1" spans="1:2" x14ac:dyDescent="0.3">
      <c r="A1" s="14" t="s">
        <v>76</v>
      </c>
      <c r="B1" s="14" t="s">
        <v>41</v>
      </c>
    </row>
    <row r="2" spans="1:2" x14ac:dyDescent="0.3">
      <c r="A2" t="s">
        <v>2</v>
      </c>
      <c r="B2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Dashboard_Resumo</vt:lpstr>
      <vt:lpstr>tbOrcamentoBase</vt:lpstr>
      <vt:lpstr>tbContratos</vt:lpstr>
      <vt:lpstr>tbMedicoes</vt:lpstr>
      <vt:lpstr>tbAditivos</vt:lpstr>
      <vt:lpstr>tbCurvaS</vt:lpstr>
      <vt:lpstr>tbObras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Pena</dc:creator>
  <cp:lastModifiedBy>Arthur Pena</cp:lastModifiedBy>
  <dcterms:created xsi:type="dcterms:W3CDTF">2026-10-04T19:27:52Z</dcterms:created>
  <dcterms:modified xsi:type="dcterms:W3CDTF">2026-10-04T19:27:54Z</dcterms:modified>
</cp:coreProperties>
</file>